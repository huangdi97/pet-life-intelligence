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876120b1443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f1f759627734c6e"/>
    <x:sheet xmlns:r="http://schemas.openxmlformats.org/officeDocument/2006/relationships" name="Feature Inventory" sheetId="2" r:id="Rb33bc34d63cc403b"/>
    <x:sheet xmlns:r="http://schemas.openxmlformats.org/officeDocument/2006/relationships" name="v0.1 Build Scope" sheetId="3" r:id="Rac0837194497432d"/>
    <x:sheet xmlns:r="http://schemas.openxmlformats.org/officeDocument/2006/relationships" name="Roadmap" sheetId="4" r:id="Rc72cb1ceb4a64782"/>
    <x:sheet xmlns:r="http://schemas.openxmlformats.org/officeDocument/2006/relationships" name="Screen IA" sheetId="5" r:id="R5f1419d455bf4ce9"/>
    <x:sheet xmlns:r="http://schemas.openxmlformats.org/officeDocument/2006/relationships" name="Scoring Guide" sheetId="6" r:id="Rcb0a46a6bd854e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6fa6eaea8466b" /><Relationship Type="http://schemas.openxmlformats.org/officeDocument/2006/relationships/theme" Target="/xl/theme/theme1.xml" Id="R2053ec928c9049a7" /><Relationship Type="http://schemas.openxmlformats.org/officeDocument/2006/relationships/sharedStrings" Target="/xl/sharedStrings.xml" Id="R7d72a7cba20b447e" /><Relationship Type="http://schemas.openxmlformats.org/officeDocument/2006/relationships/worksheet" Target="/xl/worksheets/sheet1.xml" Id="R7f1f759627734c6e" /><Relationship Type="http://schemas.openxmlformats.org/officeDocument/2006/relationships/worksheet" Target="/xl/worksheets/sheet2.xml" Id="Rb33bc34d63cc403b" /><Relationship Type="http://schemas.openxmlformats.org/officeDocument/2006/relationships/worksheet" Target="/xl/worksheets/sheet3.xml" Id="Rac0837194497432d" /><Relationship Type="http://schemas.openxmlformats.org/officeDocument/2006/relationships/worksheet" Target="/xl/worksheets/sheet4.xml" Id="Rc72cb1ceb4a64782" /><Relationship Type="http://schemas.openxmlformats.org/officeDocument/2006/relationships/worksheet" Target="/xl/worksheets/sheet5.xml" Id="R5f1419d455bf4ce9" /><Relationship Type="http://schemas.openxmlformats.org/officeDocument/2006/relationships/worksheet" Target="/xl/worksheets/sheet6.xml" Id="Rcb0a46a6bd854e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3907a3a92d349f0" /><Relationship Type="http://schemas.openxmlformats.org/officeDocument/2006/relationships/chart" Target="/xl/drawings/charts/chart2.xml" Id="R4292836d7ade4d0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Feature Distribution by Stage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Feature Count</c:v>
          </c:tx>
          <c:cat>
            <c:strRef>
              <c:f>'Dashboard'!$A$11:$A$14</c:f>
              <c:strCache>
                <c:ptCount val="0"/>
              </c:strCache>
            </c:strRef>
          </c:cat>
          <c:val>
            <c:numRef>
              <c:f>'Dashboard'!$B$11:$B$14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Features by Domain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All</c:v>
          </c:tx>
          <c:cat>
            <c:strRef>
              <c:f>'Dashboard'!$D$11:$D$26</c:f>
              <c:strCache>
                <c:ptCount val="0"/>
              </c:strCache>
            </c:strRef>
          </c:cat>
          <c:val>
            <c:numRef>
              <c:f>'Dashboard'!$E$11:$E$26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907a3a92d349f0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17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92836d7ade4d0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eatureInventoryTable" displayName="FeatureInventoryTable" ref="A1:T229" headerRowCount="1" totalsRowCount="0" totalsRowShown="0">
  <x:tableColumns count="20">
    <x:tableColumn id="1" name="Feature ID"/>
    <x:tableColumn id="2" name="Domain"/>
    <x:tableColumn id="3" name="Module"/>
    <x:tableColumn id="4" name="Feature"/>
    <x:tableColumn id="5" name="Description"/>
    <x:tableColumn id="6" name="Primary Actor"/>
    <x:tableColumn id="7" name="AI / Logic"/>
    <x:tableColumn id="8" name="AI Needed"/>
    <x:tableColumn id="9" name="Pet Life Event"/>
    <x:tableColumn id="10" name="Dependencies"/>
    <x:tableColumn id="11" name="Stage"/>
    <x:tableColumn id="12" name="Priority"/>
    <x:tableColumn id="13" name="Frequency"/>
    <x:tableColumn id="14" name="User Value"/>
    <x:tableColumn id="15" name="Data Value"/>
    <x:tableColumn id="16" name="Business Value"/>
    <x:tableColumn id="17" name="Difficulty"/>
    <x:tableColumn id="18" name="Safety Risk"/>
    <x:tableColumn id="19" name="Priority Score"/>
    <x:tableColumn id="20" name="Risk Cla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01ScopeTable" displayName="V01ScopeTable" ref="A1:H51" headerRowCount="1" totalsRowCount="0" totalsRowShown="0">
  <x:tableColumns count="8">
    <x:tableColumn id="1" name="Build Order"/>
    <x:tableColumn id="2" name="Feature ID"/>
    <x:tableColumn id="3" name="Domain"/>
    <x:tableColumn id="4" name="Module"/>
    <x:tableColumn id="5" name="Feature"/>
    <x:tableColumn id="6" name="Why in v0.1"/>
    <x:tableColumn id="7" name="Acceptance / Done Definition"/>
    <x:tableColumn id="8" name="Backend/Ev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86a21b3cc7a47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d3c4230ca94d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a1aa164cb043fd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4" max="4" width="32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</x:cols>
  <x:sheetData>
    <x:row r="1">
      <x:c r="A1" s="24" t="str">
        <x:v>Pet Life Intelligence v2.0 — Feature Explosion → Convergence</x:v>
      </x:c>
      <x:c r="B1" s="24"/>
      <x:c r="C1" s="24"/>
      <x:c r="D1" s="24"/>
      <x:c r="E1" s="24"/>
      <x:c r="F1" s="24"/>
      <x:c r="G1" s="24"/>
      <x:c r="H1" s="24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s="24"/>
      <x:c r="B2" s="24"/>
      <x:c r="C2" s="24"/>
      <x:c r="D2" s="24"/>
      <x:c r="E2" s="24"/>
      <x:c r="F2" s="24"/>
      <x:c r="G2" s="24"/>
      <x:c r="H2" s="24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26" t="str">
        <x:v>KPI</x:v>
      </x:c>
      <x:c r="B4" s="26" t="str">
        <x:v>Value</x:v>
      </x:c>
      <x:c r="C4" s="25"/>
      <x:c r="D4" s="26" t="str">
        <x:v>KPI</x:v>
      </x:c>
      <x:c r="E4" s="26" t="str">
        <x:v>Value</x:v>
      </x:c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25" t="str">
        <x:v>Total Features</x:v>
      </x:c>
      <x:c r="B5" s="25" t="n">
        <x:f>COUNTA('Feature Inventory'!A2:A500)</x:f>
        <x:v>228</x:v>
      </x:c>
      <x:c r="C5" s="25"/>
      <x:c r="D5" s="25" t="str">
        <x:v>Future</x:v>
      </x:c>
      <x:c r="E5" s="25" t="n">
        <x:f>COUNTIF('Feature Inventory'!K2:K500,"Future")</x:f>
        <x:v>42</x:v>
      </x:c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25" t="str">
        <x:v>v0.1 / P0</x:v>
      </x:c>
      <x:c r="B6" s="25" t="n">
        <x:f>COUNTIF('Feature Inventory'!K2:K500,"v0.1")</x:f>
        <x:v>50</x:v>
      </x:c>
      <x:c r="C6" s="25"/>
      <x:c r="D6" s="25" t="str">
        <x:v>Domains</x:v>
      </x:c>
      <x:c r="E6" s="25" t="n">
        <x:f>COUNTA(D11:D26)</x:f>
        <x:v>16</x:v>
      </x:c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25" t="str">
        <x:v>v0.2 / P1</x:v>
      </x:c>
      <x:c r="B7" s="25" t="n">
        <x:f>COUNTIF('Feature Inventory'!K2:K500,"v0.2")</x:f>
        <x:v>48</x:v>
      </x:c>
      <x:c r="C7" s="25"/>
      <x:c r="D7" s="25" t="str">
        <x:v>High-risk (4-5)</x:v>
      </x:c>
      <x:c r="E7" s="25" t="n">
        <x:f>COUNTIF('Feature Inventory'!R2:R500,"&gt;=4")</x:f>
        <x:v>76</x:v>
      </x:c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25" t="str">
        <x:v>v1.0 / P2</x:v>
      </x:c>
      <x:c r="B8" s="25" t="n">
        <x:f>COUNTIF('Feature Inventory'!K2:K500,"v1.0")</x:f>
        <x:v>88</x:v>
      </x:c>
      <x:c r="C8" s="25"/>
      <x:c r="D8" s="25" t="str">
        <x:v>AI-involved</x:v>
      </x:c>
      <x:c r="E8" s="25" t="n">
        <x:f>COUNTIF('Feature Inventory'!H2:H500,"是")+COUNTIF('Feature Inventory'!H2:H500,"规则为主")</x:f>
        <x:v>101</x:v>
      </x:c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26" t="str">
        <x:v>Stage</x:v>
      </x:c>
      <x:c r="B10" s="26" t="str">
        <x:v>Feature Count</x:v>
      </x:c>
      <x:c r="C10" s="25"/>
      <x:c r="D10" s="26" t="str">
        <x:v>Domain</x:v>
      </x:c>
      <x:c r="E10" s="26" t="str">
        <x:v>All</x:v>
      </x:c>
      <x:c r="F10" s="26" t="str">
        <x:v>v0.1</x:v>
      </x:c>
      <x:c r="G10" s="26" t="str">
        <x:v>v0.2</x:v>
      </x:c>
      <x:c r="H10" s="26" t="str">
        <x:v>v1.0</x:v>
      </x:c>
      <x:c r="I10" s="26" t="str">
        <x:v>Future</x:v>
      </x:c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25" t="str">
        <x:v>v0.1</x:v>
      </x:c>
      <x:c r="B11" s="25" t="n">
        <x:f>COUNTIF('Feature Inventory'!K2:K500,"v0.1")</x:f>
        <x:v>50</x:v>
      </x:c>
      <x:c r="C11" s="25"/>
      <x:c r="D11" s="14" t="str">
        <x:v>01 Identity &amp; Permissions</x:v>
      </x:c>
      <x:c r="E11" s="14" t="n">
        <x:f>COUNTIF('Feature Inventory'!B2:B500,D11)</x:f>
        <x:v>16</x:v>
      </x:c>
      <x:c r="F11" s="14" t="n">
        <x:f>COUNTIFS('Feature Inventory'!B2:B500,D11,'Feature Inventory'!K2:K500,"v0.1")</x:f>
        <x:v>8</x:v>
      </x:c>
      <x:c r="G11" s="14" t="n">
        <x:f>COUNTIFS('Feature Inventory'!B2:B500,D11,'Feature Inventory'!K2:K500,"v0.2")</x:f>
        <x:v>3</x:v>
      </x:c>
      <x:c r="H11" s="14" t="n">
        <x:f>COUNTIFS('Feature Inventory'!B2:B500,D11,'Feature Inventory'!K2:K500,"v1.0")</x:f>
        <x:v>4</x:v>
      </x:c>
      <x:c r="I11" s="14" t="n">
        <x:f>COUNTIFS('Feature Inventory'!B2:B500,D11,'Feature Inventory'!K2:K500,"Future")</x:f>
        <x:v>1</x:v>
      </x:c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25" t="str">
        <x:v>v0.2</x:v>
      </x:c>
      <x:c r="B12" s="25" t="n">
        <x:f>COUNTIF('Feature Inventory'!K2:K500,"v0.2")</x:f>
        <x:v>48</x:v>
      </x:c>
      <x:c r="C12" s="25"/>
      <x:c r="D12" s="14" t="str">
        <x:v>02 Today &amp; Daily Life</x:v>
      </x:c>
      <x:c r="E12" s="14" t="n">
        <x:f>COUNTIF('Feature Inventory'!B2:B500,D12)</x:f>
        <x:v>18</x:v>
      </x:c>
      <x:c r="F12" s="14" t="n">
        <x:f>COUNTIFS('Feature Inventory'!B2:B500,D12,'Feature Inventory'!K2:K500,"v0.1")</x:f>
        <x:v>12</x:v>
      </x:c>
      <x:c r="G12" s="14" t="n">
        <x:f>COUNTIFS('Feature Inventory'!B2:B500,D12,'Feature Inventory'!K2:K500,"v0.2")</x:f>
        <x:v>4</x:v>
      </x:c>
      <x:c r="H12" s="14" t="n">
        <x:f>COUNTIFS('Feature Inventory'!B2:B500,D12,'Feature Inventory'!K2:K500,"v1.0")</x:f>
        <x:v>2</x:v>
      </x:c>
      <x:c r="I12" s="14" t="n">
        <x:f>COUNTIFS('Feature Inventory'!B2:B500,D12,'Feature Inventory'!K2:K500,"Future")</x:f>
        <x:v>0</x:v>
      </x:c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25" t="str">
        <x:v>v1.0</x:v>
      </x:c>
      <x:c r="B13" s="25" t="n">
        <x:f>COUNTIF('Feature Inventory'!K2:K500,"v1.0")</x:f>
        <x:v>88</x:v>
      </x:c>
      <x:c r="C13" s="25"/>
      <x:c r="D13" s="14" t="str">
        <x:v>03 Care Network</x:v>
      </x:c>
      <x:c r="E13" s="14" t="n">
        <x:f>COUNTIF('Feature Inventory'!B2:B500,D13)</x:f>
        <x:v>14</x:v>
      </x:c>
      <x:c r="F13" s="14" t="n">
        <x:f>COUNTIFS('Feature Inventory'!B2:B500,D13,'Feature Inventory'!K2:K500,"v0.1")</x:f>
        <x:v>5</x:v>
      </x:c>
      <x:c r="G13" s="14" t="n">
        <x:f>COUNTIFS('Feature Inventory'!B2:B500,D13,'Feature Inventory'!K2:K500,"v0.2")</x:f>
        <x:v>5</x:v>
      </x:c>
      <x:c r="H13" s="14" t="n">
        <x:f>COUNTIFS('Feature Inventory'!B2:B500,D13,'Feature Inventory'!K2:K500,"v1.0")</x:f>
        <x:v>4</x:v>
      </x:c>
      <x:c r="I13" s="14" t="n">
        <x:f>COUNTIFS('Feature Inventory'!B2:B500,D13,'Feature Inventory'!K2:K500,"Future")</x:f>
        <x:v>0</x:v>
      </x:c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25" t="str">
        <x:v>Future</x:v>
      </x:c>
      <x:c r="B14" s="25" t="n">
        <x:f>COUNTIF('Feature Inventory'!K2:K500,"Future")</x:f>
        <x:v>42</x:v>
      </x:c>
      <x:c r="C14" s="25"/>
      <x:c r="D14" s="14" t="str">
        <x:v>04 Health</x:v>
      </x:c>
      <x:c r="E14" s="14" t="n">
        <x:f>COUNTIF('Feature Inventory'!B2:B500,D14)</x:f>
        <x:v>20</x:v>
      </x:c>
      <x:c r="F14" s="14" t="n">
        <x:f>COUNTIFS('Feature Inventory'!B2:B500,D14,'Feature Inventory'!K2:K500,"v0.1")</x:f>
        <x:v>11</x:v>
      </x:c>
      <x:c r="G14" s="14" t="n">
        <x:f>COUNTIFS('Feature Inventory'!B2:B500,D14,'Feature Inventory'!K2:K500,"v0.2")</x:f>
        <x:v>5</x:v>
      </x:c>
      <x:c r="H14" s="14" t="n">
        <x:f>COUNTIFS('Feature Inventory'!B2:B500,D14,'Feature Inventory'!K2:K500,"v1.0")</x:f>
        <x:v>3</x:v>
      </x:c>
      <x:c r="I14" s="14" t="n">
        <x:f>COUNTIFS('Feature Inventory'!B2:B500,D14,'Feature Inventory'!K2:K500,"Future")</x:f>
        <x:v>1</x:v>
      </x:c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25"/>
      <x:c r="B15" s="25"/>
      <x:c r="C15" s="25"/>
      <x:c r="D15" s="14" t="str">
        <x:v>05 Behavior</x:v>
      </x:c>
      <x:c r="E15" s="14" t="n">
        <x:f>COUNTIF('Feature Inventory'!B2:B500,D15)</x:f>
        <x:v>16</x:v>
      </x:c>
      <x:c r="F15" s="14" t="n">
        <x:f>COUNTIFS('Feature Inventory'!B2:B500,D15,'Feature Inventory'!K2:K500,"v0.1")</x:f>
        <x:v>1</x:v>
      </x:c>
      <x:c r="G15" s="14" t="n">
        <x:f>COUNTIFS('Feature Inventory'!B2:B500,D15,'Feature Inventory'!K2:K500,"v0.2")</x:f>
        <x:v>8</x:v>
      </x:c>
      <x:c r="H15" s="14" t="n">
        <x:f>COUNTIFS('Feature Inventory'!B2:B500,D15,'Feature Inventory'!K2:K500,"v1.0")</x:f>
        <x:v>7</x:v>
      </x:c>
      <x:c r="I15" s="14" t="n">
        <x:f>COUNTIFS('Feature Inventory'!B2:B500,D15,'Feature Inventory'!K2:K500,"Future")</x:f>
        <x:v>0</x:v>
      </x:c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25"/>
      <x:c r="B16" s="25"/>
      <x:c r="C16" s="25"/>
      <x:c r="D16" s="14" t="str">
        <x:v>06 Training</x:v>
      </x:c>
      <x:c r="E16" s="14" t="n">
        <x:f>COUNTIF('Feature Inventory'!B2:B500,D16)</x:f>
        <x:v>14</x:v>
      </x:c>
      <x:c r="F16" s="14" t="n">
        <x:f>COUNTIFS('Feature Inventory'!B2:B500,D16,'Feature Inventory'!K2:K500,"v0.1")</x:f>
        <x:v>0</x:v>
      </x:c>
      <x:c r="G16" s="14" t="n">
        <x:f>COUNTIFS('Feature Inventory'!B2:B500,D16,'Feature Inventory'!K2:K500,"v0.2")</x:f>
        <x:v>6</x:v>
      </x:c>
      <x:c r="H16" s="14" t="n">
        <x:f>COUNTIFS('Feature Inventory'!B2:B500,D16,'Feature Inventory'!K2:K500,"v1.0")</x:f>
        <x:v>8</x:v>
      </x:c>
      <x:c r="I16" s="14" t="n">
        <x:f>COUNTIFS('Feature Inventory'!B2:B500,D16,'Feature Inventory'!K2:K500,"Future")</x:f>
        <x:v>0</x:v>
      </x:c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25"/>
      <x:c r="B17" s="25"/>
      <x:c r="C17" s="25"/>
      <x:c r="D17" s="14" t="str">
        <x:v>07 Welfare</x:v>
      </x:c>
      <x:c r="E17" s="14" t="n">
        <x:f>COUNTIF('Feature Inventory'!B2:B500,D17)</x:f>
        <x:v>12</x:v>
      </x:c>
      <x:c r="F17" s="14" t="n">
        <x:f>COUNTIFS('Feature Inventory'!B2:B500,D17,'Feature Inventory'!K2:K500,"v0.1")</x:f>
        <x:v>0</x:v>
      </x:c>
      <x:c r="G17" s="14" t="n">
        <x:f>COUNTIFS('Feature Inventory'!B2:B500,D17,'Feature Inventory'!K2:K500,"v0.2")</x:f>
        <x:v>1</x:v>
      </x:c>
      <x:c r="H17" s="14" t="n">
        <x:f>COUNTIFS('Feature Inventory'!B2:B500,D17,'Feature Inventory'!K2:K500,"v1.0")</x:f>
        <x:v>8</x:v>
      </x:c>
      <x:c r="I17" s="14" t="n">
        <x:f>COUNTIFS('Feature Inventory'!B2:B500,D17,'Feature Inventory'!K2:K500,"Future")</x:f>
        <x:v>3</x:v>
      </x:c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25"/>
      <x:c r="B18" s="25"/>
      <x:c r="C18" s="25"/>
      <x:c r="D18" s="14" t="str">
        <x:v>08 Social &amp; Pet Friends</x:v>
      </x:c>
      <x:c r="E18" s="14" t="n">
        <x:f>COUNTIF('Feature Inventory'!B2:B500,D18)</x:f>
        <x:v>14</x:v>
      </x:c>
      <x:c r="F18" s="14" t="n">
        <x:f>COUNTIFS('Feature Inventory'!B2:B500,D18,'Feature Inventory'!K2:K500,"v0.1")</x:f>
        <x:v>0</x:v>
      </x:c>
      <x:c r="G18" s="14" t="n">
        <x:f>COUNTIFS('Feature Inventory'!B2:B500,D18,'Feature Inventory'!K2:K500,"v0.2")</x:f>
        <x:v>3</x:v>
      </x:c>
      <x:c r="H18" s="14" t="n">
        <x:f>COUNTIFS('Feature Inventory'!B2:B500,D18,'Feature Inventory'!K2:K500,"v1.0")</x:f>
        <x:v>6</x:v>
      </x:c>
      <x:c r="I18" s="14" t="n">
        <x:f>COUNTIFS('Feature Inventory'!B2:B500,D18,'Feature Inventory'!K2:K500,"Future")</x:f>
        <x:v>5</x:v>
      </x:c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25"/>
      <x:c r="B19" s="25"/>
      <x:c r="C19" s="25"/>
      <x:c r="D19" s="14" t="str">
        <x:v>09 Devices &amp; Home Intelligence</x:v>
      </x:c>
      <x:c r="E19" s="14" t="n">
        <x:f>COUNTIF('Feature Inventory'!B2:B500,D19)</x:f>
        <x:v>14</x:v>
      </x:c>
      <x:c r="F19" s="14" t="n">
        <x:f>COUNTIFS('Feature Inventory'!B2:B500,D19,'Feature Inventory'!K2:K500,"v0.1")</x:f>
        <x:v>0</x:v>
      </x:c>
      <x:c r="G19" s="14" t="n">
        <x:f>COUNTIFS('Feature Inventory'!B2:B500,D19,'Feature Inventory'!K2:K500,"v0.2")</x:f>
        <x:v>0</x:v>
      </x:c>
      <x:c r="H19" s="14" t="n">
        <x:f>COUNTIFS('Feature Inventory'!B2:B500,D19,'Feature Inventory'!K2:K500,"v1.0")</x:f>
        <x:v>10</x:v>
      </x:c>
      <x:c r="I19" s="14" t="n">
        <x:f>COUNTIFS('Feature Inventory'!B2:B500,D19,'Feature Inventory'!K2:K500,"Future")</x:f>
        <x:v>4</x:v>
      </x:c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25"/>
      <x:c r="B20" s="25"/>
      <x:c r="C20" s="25"/>
      <x:c r="D20" s="14" t="str">
        <x:v>10 Care Services</x:v>
      </x:c>
      <x:c r="E20" s="14" t="n">
        <x:f>COUNTIF('Feature Inventory'!B2:B500,D20)</x:f>
        <x:v>14</x:v>
      </x:c>
      <x:c r="F20" s="14" t="n">
        <x:f>COUNTIFS('Feature Inventory'!B2:B500,D20,'Feature Inventory'!K2:K500,"v0.1")</x:f>
        <x:v>0</x:v>
      </x:c>
      <x:c r="G20" s="14" t="n">
        <x:f>COUNTIFS('Feature Inventory'!B2:B500,D20,'Feature Inventory'!K2:K500,"v0.2")</x:f>
        <x:v>0</x:v>
      </x:c>
      <x:c r="H20" s="14" t="n">
        <x:f>COUNTIFS('Feature Inventory'!B2:B500,D20,'Feature Inventory'!K2:K500,"v1.0")</x:f>
        <x:v>11</x:v>
      </x:c>
      <x:c r="I20" s="14" t="n">
        <x:f>COUNTIFS('Feature Inventory'!B2:B500,D20,'Feature Inventory'!K2:K500,"Future")</x:f>
        <x:v>3</x:v>
      </x:c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25"/>
      <x:c r="B21" s="25"/>
      <x:c r="C21" s="25"/>
      <x:c r="D21" s="14" t="str">
        <x:v>11 Adoption &amp; Rescue</x:v>
      </x:c>
      <x:c r="E21" s="14" t="n">
        <x:f>COUNTIF('Feature Inventory'!B2:B500,D21)</x:f>
        <x:v>10</x:v>
      </x:c>
      <x:c r="F21" s="14" t="n">
        <x:f>COUNTIFS('Feature Inventory'!B2:B500,D21,'Feature Inventory'!K2:K500,"v0.1")</x:f>
        <x:v>0</x:v>
      </x:c>
      <x:c r="G21" s="14" t="n">
        <x:f>COUNTIFS('Feature Inventory'!B2:B500,D21,'Feature Inventory'!K2:K500,"v0.2")</x:f>
        <x:v>0</x:v>
      </x:c>
      <x:c r="H21" s="14" t="n">
        <x:f>COUNTIFS('Feature Inventory'!B2:B500,D21,'Feature Inventory'!K2:K500,"v1.0")</x:f>
        <x:v>0</x:v>
      </x:c>
      <x:c r="I21" s="14" t="n">
        <x:f>COUNTIFS('Feature Inventory'!B2:B500,D21,'Feature Inventory'!K2:K500,"Future")</x:f>
        <x:v>10</x:v>
      </x:c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25"/>
      <x:c r="B22" s="25"/>
      <x:c r="C22" s="25"/>
      <x:c r="D22" s="14" t="str">
        <x:v>12 Nutrition &amp; Commerce</x:v>
      </x:c>
      <x:c r="E22" s="14" t="n">
        <x:f>COUNTIF('Feature Inventory'!B2:B500,D22)</x:f>
        <x:v>12</x:v>
      </x:c>
      <x:c r="F22" s="14" t="n">
        <x:f>COUNTIFS('Feature Inventory'!B2:B500,D22,'Feature Inventory'!K2:K500,"v0.1")</x:f>
        <x:v>0</x:v>
      </x:c>
      <x:c r="G22" s="14" t="n">
        <x:f>COUNTIFS('Feature Inventory'!B2:B500,D22,'Feature Inventory'!K2:K500,"v0.2")</x:f>
        <x:v>1</x:v>
      </x:c>
      <x:c r="H22" s="14" t="n">
        <x:f>COUNTIFS('Feature Inventory'!B2:B500,D22,'Feature Inventory'!K2:K500,"v1.0")</x:f>
        <x:v>6</x:v>
      </x:c>
      <x:c r="I22" s="14" t="n">
        <x:f>COUNTIFS('Feature Inventory'!B2:B500,D22,'Feature Inventory'!K2:K500,"Future")</x:f>
        <x:v>5</x:v>
      </x:c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25"/>
      <x:c r="B23" s="25"/>
      <x:c r="C23" s="25"/>
      <x:c r="D23" s="14" t="str">
        <x:v>13 Finance &amp; Insurance</x:v>
      </x:c>
      <x:c r="E23" s="14" t="n">
        <x:f>COUNTIF('Feature Inventory'!B2:B500,D23)</x:f>
        <x:v>10</x:v>
      </x:c>
      <x:c r="F23" s="14" t="n">
        <x:f>COUNTIFS('Feature Inventory'!B2:B500,D23,'Feature Inventory'!K2:K500,"v0.1")</x:f>
        <x:v>0</x:v>
      </x:c>
      <x:c r="G23" s="14" t="n">
        <x:f>COUNTIFS('Feature Inventory'!B2:B500,D23,'Feature Inventory'!K2:K500,"v0.2")</x:f>
        <x:v>1</x:v>
      </x:c>
      <x:c r="H23" s="14" t="n">
        <x:f>COUNTIFS('Feature Inventory'!B2:B500,D23,'Feature Inventory'!K2:K500,"v1.0")</x:f>
        <x:v>6</x:v>
      </x:c>
      <x:c r="I23" s="14" t="n">
        <x:f>COUNTIFS('Feature Inventory'!B2:B500,D23,'Feature Inventory'!K2:K500,"Future")</x:f>
        <x:v>3</x:v>
      </x:c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25"/>
      <x:c r="B24" s="25"/>
      <x:c r="C24" s="25"/>
      <x:c r="D24" s="14" t="str">
        <x:v>14 Life Timeline &amp; Archive</x:v>
      </x:c>
      <x:c r="E24" s="14" t="n">
        <x:f>COUNTIF('Feature Inventory'!B2:B500,D24)</x:f>
        <x:v>12</x:v>
      </x:c>
      <x:c r="F24" s="14" t="n">
        <x:f>COUNTIFS('Feature Inventory'!B2:B500,D24,'Feature Inventory'!K2:K500,"v0.1")</x:f>
        <x:v>2</x:v>
      </x:c>
      <x:c r="G24" s="14" t="n">
        <x:f>COUNTIFS('Feature Inventory'!B2:B500,D24,'Feature Inventory'!K2:K500,"v0.2")</x:f>
        <x:v>3</x:v>
      </x:c>
      <x:c r="H24" s="14" t="n">
        <x:f>COUNTIFS('Feature Inventory'!B2:B500,D24,'Feature Inventory'!K2:K500,"v1.0")</x:f>
        <x:v>2</x:v>
      </x:c>
      <x:c r="I24" s="14" t="n">
        <x:f>COUNTIFS('Feature Inventory'!B2:B500,D24,'Feature Inventory'!K2:K500,"Future")</x:f>
        <x:v>5</x:v>
      </x:c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25"/>
      <x:c r="B25" s="25"/>
      <x:c r="C25" s="25"/>
      <x:c r="D25" s="14" t="str">
        <x:v>15 Pet Agent &amp; Search</x:v>
      </x:c>
      <x:c r="E25" s="14" t="n">
        <x:f>COUNTIF('Feature Inventory'!B2:B500,D25)</x:f>
        <x:v>14</x:v>
      </x:c>
      <x:c r="F25" s="14" t="n">
        <x:f>COUNTIFS('Feature Inventory'!B2:B500,D25,'Feature Inventory'!K2:K500,"v0.1")</x:f>
        <x:v>1</x:v>
      </x:c>
      <x:c r="G25" s="14" t="n">
        <x:f>COUNTIFS('Feature Inventory'!B2:B500,D25,'Feature Inventory'!K2:K500,"v0.2")</x:f>
        <x:v>5</x:v>
      </x:c>
      <x:c r="H25" s="14" t="n">
        <x:f>COUNTIFS('Feature Inventory'!B2:B500,D25,'Feature Inventory'!K2:K500,"v1.0")</x:f>
        <x:v>6</x:v>
      </x:c>
      <x:c r="I25" s="14" t="n">
        <x:f>COUNTIFS('Feature Inventory'!B2:B500,D25,'Feature Inventory'!K2:K500,"Future")</x:f>
        <x:v>2</x:v>
      </x:c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25"/>
      <x:c r="B26" s="25"/>
      <x:c r="C26" s="25"/>
      <x:c r="D26" s="14" t="str">
        <x:v>16 Platform, Data &amp; Safety</x:v>
      </x:c>
      <x:c r="E26" s="14" t="n">
        <x:f>COUNTIF('Feature Inventory'!B2:B500,D26)</x:f>
        <x:v>18</x:v>
      </x:c>
      <x:c r="F26" s="14" t="n">
        <x:f>COUNTIFS('Feature Inventory'!B2:B500,D26,'Feature Inventory'!K2:K500,"v0.1")</x:f>
        <x:v>10</x:v>
      </x:c>
      <x:c r="G26" s="14" t="n">
        <x:f>COUNTIFS('Feature Inventory'!B2:B500,D26,'Feature Inventory'!K2:K500,"v0.2")</x:f>
        <x:v>3</x:v>
      </x:c>
      <x:c r="H26" s="14" t="n">
        <x:f>COUNTIFS('Feature Inventory'!B2:B500,D26,'Feature Inventory'!K2:K500,"v1.0")</x:f>
        <x:v>5</x:v>
      </x:c>
      <x:c r="I26" s="14" t="n">
        <x:f>COUNTIFS('Feature Inventory'!B2:B500,D26,'Feature Inventory'!K2:K500,"Future")</x:f>
        <x:v>0</x:v>
      </x:c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26" t="str">
        <x:v>Top v0.1 Feature</x:v>
      </x:c>
      <x:c r="B30" s="26" t="str">
        <x:v>Domain</x:v>
      </x:c>
      <x:c r="C30" s="26" t="str">
        <x:v>User Value</x:v>
      </x:c>
      <x:c r="D30" s="26" t="str">
        <x:v>Data Value</x:v>
      </x:c>
      <x:c r="E30" s="26" t="str">
        <x:v>Score</x:v>
      </x:c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25" t="str">
        <x:v>今日总览</x:v>
      </x:c>
      <x:c r="B31" s="25" t="str">
        <x:v>02 Today &amp; Daily Life</x:v>
      </x:c>
      <x:c r="C31" s="25" t="n">
        <x:v>5</x:v>
      </x:c>
      <x:c r="D31" s="25" t="n">
        <x:v>5</x:v>
      </x:c>
      <x:c r="E31" s="25" t="n">
        <x:v>4.62</x:v>
      </x:c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25" t="str">
        <x:v>喂食记录</x:v>
      </x:c>
      <x:c r="B32" s="25" t="str">
        <x:v>02 Today &amp; Daily Life</x:v>
      </x:c>
      <x:c r="C32" s="25" t="n">
        <x:v>5</x:v>
      </x:c>
      <x:c r="D32" s="25" t="n">
        <x:v>5</x:v>
      </x:c>
      <x:c r="E32" s="25" t="n">
        <x:v>4.62</x:v>
      </x:c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25" t="str">
        <x:v>多宠家庭管理</x:v>
      </x:c>
      <x:c r="B33" s="25" t="str">
        <x:v>01 Identity &amp; Permissions</x:v>
      </x:c>
      <x:c r="C33" s="25" t="n">
        <x:v>5</x:v>
      </x:c>
      <x:c r="D33" s="25" t="n">
        <x:v>5</x:v>
      </x:c>
      <x:c r="E33" s="25" t="n">
        <x:v>4.47</x:v>
      </x:c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25" t="str">
        <x:v>快速记录入口</x:v>
      </x:c>
      <x:c r="B34" s="25" t="str">
        <x:v>02 Today &amp; Daily Life</x:v>
      </x:c>
      <x:c r="C34" s="25" t="n">
        <x:v>5</x:v>
      </x:c>
      <x:c r="D34" s="25" t="n">
        <x:v>5</x:v>
      </x:c>
      <x:c r="E34" s="25" t="n">
        <x:v>4.47</x:v>
      </x:c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25" t="str">
        <x:v>完成与责任人</x:v>
      </x:c>
      <x:c r="B35" s="25" t="str">
        <x:v>02 Today &amp; Daily Life</x:v>
      </x:c>
      <x:c r="C35" s="25" t="n">
        <x:v>5</x:v>
      </x:c>
      <x:c r="D35" s="25" t="n">
        <x:v>5</x:v>
      </x:c>
      <x:c r="E35" s="25" t="n">
        <x:v>4.47</x:v>
      </x:c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25" t="str">
        <x:v>Canonical Pet Life Event Schema</x:v>
      </x:c>
      <x:c r="B36" s="25" t="str">
        <x:v>16 Platform, Data &amp; Safety</x:v>
      </x:c>
      <x:c r="C36" s="25" t="n">
        <x:v>5</x:v>
      </x:c>
      <x:c r="D36" s="25" t="n">
        <x:v>5</x:v>
      </x:c>
      <x:c r="E36" s="25" t="n">
        <x:v>4.39</x:v>
      </x:c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25" t="str">
        <x:v>统一生命时间线</x:v>
      </x:c>
      <x:c r="B37" s="25" t="str">
        <x:v>14 Life Timeline &amp; Archive</x:v>
      </x:c>
      <x:c r="C37" s="25" t="n">
        <x:v>5</x:v>
      </x:c>
      <x:c r="D37" s="25" t="n">
        <x:v>5</x:v>
      </x:c>
      <x:c r="E37" s="25" t="n">
        <x:v>4.32</x:v>
      </x:c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25" t="str">
        <x:v>来源等级</x:v>
      </x:c>
      <x:c r="B38" s="25" t="str">
        <x:v>16 Platform, Data &amp; Safety</x:v>
      </x:c>
      <x:c r="C38" s="25" t="n">
        <x:v>5</x:v>
      </x:c>
      <x:c r="D38" s="25" t="n">
        <x:v>5</x:v>
      </x:c>
      <x:c r="E38" s="25" t="n">
        <x:v>4.32</x:v>
      </x:c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25" t="str">
        <x:v>照护任务</x:v>
      </x:c>
      <x:c r="B39" s="25" t="str">
        <x:v>02 Today &amp; Daily Life</x:v>
      </x:c>
      <x:c r="C39" s="25" t="n">
        <x:v>5</x:v>
      </x:c>
      <x:c r="D39" s="25" t="n">
        <x:v>4</x:v>
      </x:c>
      <x:c r="E39" s="25" t="n">
        <x:v>4.27</x:v>
      </x:c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25" t="str">
        <x:v>统一通知中心</x:v>
      </x:c>
      <x:c r="B40" s="25" t="str">
        <x:v>16 Platform, Data &amp; Safety</x:v>
      </x:c>
      <x:c r="C40" s="25" t="n">
        <x:v>5</x:v>
      </x:c>
      <x:c r="D40" s="25" t="n">
        <x:v>4</x:v>
      </x:c>
      <x:c r="E40" s="25" t="n">
        <x:v>4.12</x:v>
      </x:c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25" t="str">
        <x:v>体重与体况趋势</x:v>
      </x:c>
      <x:c r="B41" s="25" t="str">
        <x:v>02 Today &amp; Daily Life</x:v>
      </x:c>
      <x:c r="C41" s="25" t="n">
        <x:v>5</x:v>
      </x:c>
      <x:c r="D41" s="25" t="n">
        <x:v>5</x:v>
      </x:c>
      <x:c r="E41" s="25" t="n">
        <x:v>4.11</x:v>
      </x:c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25" t="str">
        <x:v>排泄记录</x:v>
      </x:c>
      <x:c r="B42" s="25" t="str">
        <x:v>02 Today &amp; Daily Life</x:v>
      </x:c>
      <x:c r="C42" s="25" t="n">
        <x:v>5</x:v>
      </x:c>
      <x:c r="D42" s="25" t="n">
        <x:v>5</x:v>
      </x:c>
      <x:c r="E42" s="25" t="n">
        <x:v>4.1</x:v>
      </x:c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25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25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25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25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25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25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25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25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25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25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25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25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25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25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25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25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25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25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25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25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25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25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25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25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25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25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25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25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25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25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25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25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25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25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25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25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25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25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25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25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25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25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25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25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25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25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25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25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25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25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25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25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25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25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25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25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25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25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25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25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25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25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25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25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25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25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25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25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25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25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25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25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25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25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25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25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25"/>
      <x:c r="B201" s="25"/>
      <x:c r="C201" s="25"/>
      <x:c r="D201" s="25"/>
      <x:c r="E201" s="25"/>
      <x:c r="F201" s="25"/>
      <x:c r="G201" s="25"/>
      <x:c r="H201" s="25"/>
      <x:c r="I201" s="25"/>
      <x:c r="J201" s="25"/>
      <x:c r="K201" s="25"/>
      <x:c r="L201" s="25"/>
      <x:c r="M201" s="25"/>
      <x:c r="N201" s="25"/>
      <x:c r="O201" s="25"/>
      <x:c r="P201" s="25"/>
      <x:c r="Q201" s="25"/>
      <x:c r="R201" s="25"/>
      <x:c r="S201" s="25"/>
      <x:c r="T201" s="25"/>
      <x:c r="U201" s="25"/>
      <x:c r="V201" s="25"/>
      <x:c r="W201" s="25"/>
      <x:c r="X201" s="25"/>
      <x:c r="Y201" s="25"/>
      <x:c r="Z201" s="25"/>
    </x:row>
    <x:row r="202">
      <x:c r="A202" s="25"/>
      <x:c r="B202" s="25"/>
      <x:c r="C202" s="25"/>
      <x:c r="D202" s="25"/>
      <x:c r="E202" s="25"/>
      <x:c r="F202" s="25"/>
      <x:c r="G202" s="25"/>
      <x:c r="H202" s="25"/>
      <x:c r="I202" s="25"/>
      <x:c r="J202" s="25"/>
      <x:c r="K202" s="25"/>
      <x:c r="L202" s="25"/>
      <x:c r="M202" s="25"/>
      <x:c r="N202" s="25"/>
      <x:c r="O202" s="25"/>
      <x:c r="P202" s="25"/>
      <x:c r="Q202" s="25"/>
      <x:c r="R202" s="25"/>
      <x:c r="S202" s="25"/>
      <x:c r="T202" s="25"/>
      <x:c r="U202" s="25"/>
      <x:c r="V202" s="25"/>
      <x:c r="W202" s="25"/>
      <x:c r="X202" s="25"/>
      <x:c r="Y202" s="25"/>
      <x:c r="Z202" s="25"/>
    </x:row>
    <x:row r="203">
      <x:c r="A203" s="25"/>
      <x:c r="B203" s="25"/>
      <x:c r="C203" s="25"/>
      <x:c r="D203" s="25"/>
      <x:c r="E203" s="25"/>
      <x:c r="F203" s="25"/>
      <x:c r="G203" s="25"/>
      <x:c r="H203" s="25"/>
      <x:c r="I203" s="25"/>
      <x:c r="J203" s="25"/>
      <x:c r="K203" s="25"/>
      <x:c r="L203" s="25"/>
      <x:c r="M203" s="25"/>
      <x:c r="N203" s="25"/>
      <x:c r="O203" s="25"/>
      <x:c r="P203" s="25"/>
      <x:c r="Q203" s="25"/>
      <x:c r="R203" s="25"/>
      <x:c r="S203" s="25"/>
      <x:c r="T203" s="25"/>
      <x:c r="U203" s="25"/>
      <x:c r="V203" s="25"/>
      <x:c r="W203" s="25"/>
      <x:c r="X203" s="25"/>
      <x:c r="Y203" s="25"/>
      <x:c r="Z203" s="25"/>
    </x:row>
    <x:row r="204">
      <x:c r="A204" s="25"/>
      <x:c r="B204" s="25"/>
      <x:c r="C204" s="25"/>
      <x:c r="D204" s="25"/>
      <x:c r="E204" s="25"/>
      <x:c r="F204" s="25"/>
      <x:c r="G204" s="25"/>
      <x:c r="H204" s="25"/>
      <x:c r="I204" s="25"/>
      <x:c r="J204" s="25"/>
      <x:c r="K204" s="25"/>
      <x:c r="L204" s="25"/>
      <x:c r="M204" s="25"/>
      <x:c r="N204" s="25"/>
      <x:c r="O204" s="25"/>
      <x:c r="P204" s="25"/>
      <x:c r="Q204" s="25"/>
      <x:c r="R204" s="25"/>
      <x:c r="S204" s="25"/>
      <x:c r="T204" s="25"/>
      <x:c r="U204" s="25"/>
      <x:c r="V204" s="25"/>
      <x:c r="W204" s="25"/>
      <x:c r="X204" s="25"/>
      <x:c r="Y204" s="25"/>
      <x:c r="Z204" s="25"/>
    </x:row>
    <x:row r="205">
      <x:c r="A205" s="25"/>
      <x:c r="B205" s="25"/>
      <x:c r="C205" s="25"/>
      <x:c r="D205" s="25"/>
      <x:c r="E205" s="25"/>
      <x:c r="F205" s="25"/>
      <x:c r="G205" s="25"/>
      <x:c r="H205" s="25"/>
      <x:c r="I205" s="25"/>
      <x:c r="J205" s="25"/>
      <x:c r="K205" s="25"/>
      <x:c r="L205" s="25"/>
      <x:c r="M205" s="25"/>
      <x:c r="N205" s="25"/>
      <x:c r="O205" s="25"/>
      <x:c r="P205" s="25"/>
      <x:c r="Q205" s="25"/>
      <x:c r="R205" s="25"/>
      <x:c r="S205" s="25"/>
      <x:c r="T205" s="25"/>
      <x:c r="U205" s="25"/>
      <x:c r="V205" s="25"/>
      <x:c r="W205" s="25"/>
      <x:c r="X205" s="25"/>
      <x:c r="Y205" s="25"/>
      <x:c r="Z205" s="25"/>
    </x:row>
    <x:row r="206">
      <x:c r="A206" s="25"/>
      <x:c r="B206" s="25"/>
      <x:c r="C206" s="25"/>
      <x:c r="D206" s="25"/>
      <x:c r="E206" s="25"/>
      <x:c r="F206" s="25"/>
      <x:c r="G206" s="25"/>
      <x:c r="H206" s="25"/>
      <x:c r="I206" s="25"/>
      <x:c r="J206" s="25"/>
      <x:c r="K206" s="25"/>
      <x:c r="L206" s="25"/>
      <x:c r="M206" s="25"/>
      <x:c r="N206" s="25"/>
      <x:c r="O206" s="25"/>
      <x:c r="P206" s="25"/>
      <x:c r="Q206" s="25"/>
      <x:c r="R206" s="25"/>
      <x:c r="S206" s="25"/>
      <x:c r="T206" s="25"/>
      <x:c r="U206" s="25"/>
      <x:c r="V206" s="25"/>
      <x:c r="W206" s="25"/>
      <x:c r="X206" s="25"/>
      <x:c r="Y206" s="25"/>
      <x:c r="Z206" s="25"/>
    </x:row>
    <x:row r="207">
      <x:c r="A207" s="25"/>
      <x:c r="B207" s="25"/>
      <x:c r="C207" s="25"/>
      <x:c r="D207" s="25"/>
      <x:c r="E207" s="25"/>
      <x:c r="F207" s="25"/>
      <x:c r="G207" s="25"/>
      <x:c r="H207" s="25"/>
      <x:c r="I207" s="25"/>
      <x:c r="J207" s="25"/>
      <x:c r="K207" s="25"/>
      <x:c r="L207" s="25"/>
      <x:c r="M207" s="25"/>
      <x:c r="N207" s="25"/>
      <x:c r="O207" s="25"/>
      <x:c r="P207" s="25"/>
      <x:c r="Q207" s="25"/>
      <x:c r="R207" s="25"/>
      <x:c r="S207" s="25"/>
      <x:c r="T207" s="25"/>
      <x:c r="U207" s="25"/>
      <x:c r="V207" s="25"/>
      <x:c r="W207" s="25"/>
      <x:c r="X207" s="25"/>
      <x:c r="Y207" s="25"/>
      <x:c r="Z207" s="25"/>
    </x:row>
    <x:row r="208">
      <x:c r="A208" s="25"/>
      <x:c r="B208" s="25"/>
      <x:c r="C208" s="25"/>
      <x:c r="D208" s="25"/>
      <x:c r="E208" s="25"/>
      <x:c r="F208" s="25"/>
      <x:c r="G208" s="25"/>
      <x:c r="H208" s="25"/>
      <x:c r="I208" s="25"/>
      <x:c r="J208" s="25"/>
      <x:c r="K208" s="25"/>
      <x:c r="L208" s="25"/>
      <x:c r="M208" s="25"/>
      <x:c r="N208" s="25"/>
      <x:c r="O208" s="25"/>
      <x:c r="P208" s="25"/>
      <x:c r="Q208" s="25"/>
      <x:c r="R208" s="25"/>
      <x:c r="S208" s="25"/>
      <x:c r="T208" s="25"/>
      <x:c r="U208" s="25"/>
      <x:c r="V208" s="25"/>
      <x:c r="W208" s="25"/>
      <x:c r="X208" s="25"/>
      <x:c r="Y208" s="25"/>
      <x:c r="Z208" s="25"/>
    </x:row>
    <x:row r="209">
      <x:c r="A209" s="25"/>
      <x:c r="B209" s="25"/>
      <x:c r="C209" s="25"/>
      <x:c r="D209" s="25"/>
      <x:c r="E209" s="25"/>
      <x:c r="F209" s="25"/>
      <x:c r="G209" s="25"/>
      <x:c r="H209" s="25"/>
      <x:c r="I209" s="25"/>
      <x:c r="J209" s="25"/>
      <x:c r="K209" s="25"/>
      <x:c r="L209" s="25"/>
      <x:c r="M209" s="25"/>
      <x:c r="N209" s="25"/>
      <x:c r="O209" s="25"/>
      <x:c r="P209" s="25"/>
      <x:c r="Q209" s="25"/>
      <x:c r="R209" s="25"/>
      <x:c r="S209" s="25"/>
      <x:c r="T209" s="25"/>
      <x:c r="U209" s="25"/>
      <x:c r="V209" s="25"/>
      <x:c r="W209" s="25"/>
      <x:c r="X209" s="25"/>
      <x:c r="Y209" s="25"/>
      <x:c r="Z209" s="25"/>
    </x:row>
    <x:row r="210">
      <x:c r="A210" s="25"/>
      <x:c r="B210" s="25"/>
      <x:c r="C210" s="25"/>
      <x:c r="D210" s="25"/>
      <x:c r="E210" s="25"/>
      <x:c r="F210" s="25"/>
      <x:c r="G210" s="25"/>
      <x:c r="H210" s="25"/>
      <x:c r="I210" s="25"/>
      <x:c r="J210" s="25"/>
      <x:c r="K210" s="25"/>
      <x:c r="L210" s="25"/>
      <x:c r="M210" s="25"/>
      <x:c r="N210" s="25"/>
      <x:c r="O210" s="25"/>
      <x:c r="P210" s="25"/>
      <x:c r="Q210" s="25"/>
      <x:c r="R210" s="25"/>
      <x:c r="S210" s="25"/>
      <x:c r="T210" s="25"/>
      <x:c r="U210" s="25"/>
      <x:c r="V210" s="25"/>
      <x:c r="W210" s="25"/>
      <x:c r="X210" s="25"/>
      <x:c r="Y210" s="25"/>
      <x:c r="Z210" s="25"/>
    </x:row>
    <x:row r="211">
      <x:c r="A211" s="25"/>
      <x:c r="B211" s="25"/>
      <x:c r="C211" s="25"/>
      <x:c r="D211" s="25"/>
      <x:c r="E211" s="25"/>
      <x:c r="F211" s="25"/>
      <x:c r="G211" s="25"/>
      <x:c r="H211" s="25"/>
      <x:c r="I211" s="25"/>
      <x:c r="J211" s="25"/>
      <x:c r="K211" s="25"/>
      <x:c r="L211" s="25"/>
      <x:c r="M211" s="25"/>
      <x:c r="N211" s="25"/>
      <x:c r="O211" s="25"/>
      <x:c r="P211" s="25"/>
      <x:c r="Q211" s="25"/>
      <x:c r="R211" s="25"/>
      <x:c r="S211" s="25"/>
      <x:c r="T211" s="25"/>
      <x:c r="U211" s="25"/>
      <x:c r="V211" s="25"/>
      <x:c r="W211" s="25"/>
      <x:c r="X211" s="25"/>
      <x:c r="Y211" s="25"/>
      <x:c r="Z211" s="25"/>
    </x:row>
    <x:row r="212">
      <x:c r="A212" s="25"/>
      <x:c r="B212" s="25"/>
      <x:c r="C212" s="25"/>
      <x:c r="D212" s="25"/>
      <x:c r="E212" s="25"/>
      <x:c r="F212" s="25"/>
      <x:c r="G212" s="25"/>
      <x:c r="H212" s="25"/>
      <x:c r="I212" s="25"/>
      <x:c r="J212" s="25"/>
      <x:c r="K212" s="25"/>
      <x:c r="L212" s="25"/>
      <x:c r="M212" s="25"/>
      <x:c r="N212" s="25"/>
      <x:c r="O212" s="25"/>
      <x:c r="P212" s="25"/>
      <x:c r="Q212" s="25"/>
      <x:c r="R212" s="25"/>
      <x:c r="S212" s="25"/>
      <x:c r="T212" s="25"/>
      <x:c r="U212" s="25"/>
      <x:c r="V212" s="25"/>
      <x:c r="W212" s="25"/>
      <x:c r="X212" s="25"/>
      <x:c r="Y212" s="25"/>
      <x:c r="Z212" s="25"/>
    </x:row>
    <x:row r="213">
      <x:c r="A213" s="25"/>
      <x:c r="B213" s="25"/>
      <x:c r="C213" s="25"/>
      <x:c r="D213" s="25"/>
      <x:c r="E213" s="25"/>
      <x:c r="F213" s="25"/>
      <x:c r="G213" s="25"/>
      <x:c r="H213" s="25"/>
      <x:c r="I213" s="25"/>
      <x:c r="J213" s="25"/>
      <x:c r="K213" s="25"/>
      <x:c r="L213" s="25"/>
      <x:c r="M213" s="25"/>
      <x:c r="N213" s="25"/>
      <x:c r="O213" s="25"/>
      <x:c r="P213" s="25"/>
      <x:c r="Q213" s="25"/>
      <x:c r="R213" s="25"/>
      <x:c r="S213" s="25"/>
      <x:c r="T213" s="25"/>
      <x:c r="U213" s="25"/>
      <x:c r="V213" s="25"/>
      <x:c r="W213" s="25"/>
      <x:c r="X213" s="25"/>
      <x:c r="Y213" s="25"/>
      <x:c r="Z213" s="25"/>
    </x:row>
    <x:row r="214">
      <x:c r="A214" s="25"/>
      <x:c r="B214" s="25"/>
      <x:c r="C214" s="25"/>
      <x:c r="D214" s="25"/>
      <x:c r="E214" s="25"/>
      <x:c r="F214" s="25"/>
      <x:c r="G214" s="25"/>
      <x:c r="H214" s="25"/>
      <x:c r="I214" s="25"/>
      <x:c r="J214" s="25"/>
      <x:c r="K214" s="25"/>
      <x:c r="L214" s="25"/>
      <x:c r="M214" s="25"/>
      <x:c r="N214" s="25"/>
      <x:c r="O214" s="25"/>
      <x:c r="P214" s="25"/>
      <x:c r="Q214" s="25"/>
      <x:c r="R214" s="25"/>
      <x:c r="S214" s="25"/>
      <x:c r="T214" s="25"/>
      <x:c r="U214" s="25"/>
      <x:c r="V214" s="25"/>
      <x:c r="W214" s="25"/>
      <x:c r="X214" s="25"/>
      <x:c r="Y214" s="25"/>
      <x:c r="Z214" s="25"/>
    </x:row>
    <x:row r="215">
      <x:c r="A215" s="25"/>
      <x:c r="B215" s="25"/>
      <x:c r="C215" s="25"/>
      <x:c r="D215" s="25"/>
      <x:c r="E215" s="25"/>
      <x:c r="F215" s="25"/>
      <x:c r="G215" s="25"/>
      <x:c r="H215" s="25"/>
      <x:c r="I215" s="25"/>
      <x:c r="J215" s="25"/>
      <x:c r="K215" s="25"/>
      <x:c r="L215" s="25"/>
      <x:c r="M215" s="25"/>
      <x:c r="N215" s="25"/>
      <x:c r="O215" s="25"/>
      <x:c r="P215" s="25"/>
      <x:c r="Q215" s="25"/>
      <x:c r="R215" s="25"/>
      <x:c r="S215" s="25"/>
      <x:c r="T215" s="25"/>
      <x:c r="U215" s="25"/>
      <x:c r="V215" s="25"/>
      <x:c r="W215" s="25"/>
      <x:c r="X215" s="25"/>
      <x:c r="Y215" s="25"/>
      <x:c r="Z215" s="25"/>
    </x:row>
    <x:row r="216">
      <x:c r="A216" s="25"/>
      <x:c r="B216" s="25"/>
      <x:c r="C216" s="25"/>
      <x:c r="D216" s="25"/>
      <x:c r="E216" s="25"/>
      <x:c r="F216" s="25"/>
      <x:c r="G216" s="25"/>
      <x:c r="H216" s="25"/>
      <x:c r="I216" s="25"/>
      <x:c r="J216" s="25"/>
      <x:c r="K216" s="25"/>
      <x:c r="L216" s="25"/>
      <x:c r="M216" s="25"/>
      <x:c r="N216" s="25"/>
      <x:c r="O216" s="25"/>
      <x:c r="P216" s="25"/>
      <x:c r="Q216" s="25"/>
      <x:c r="R216" s="25"/>
      <x:c r="S216" s="25"/>
      <x:c r="T216" s="25"/>
      <x:c r="U216" s="25"/>
      <x:c r="V216" s="25"/>
      <x:c r="W216" s="25"/>
      <x:c r="X216" s="25"/>
      <x:c r="Y216" s="25"/>
      <x:c r="Z216" s="25"/>
    </x:row>
    <x:row r="217">
      <x:c r="A217" s="25"/>
      <x:c r="B217" s="25"/>
      <x:c r="C217" s="25"/>
      <x:c r="D217" s="25"/>
      <x:c r="E217" s="25"/>
      <x:c r="F217" s="25"/>
      <x:c r="G217" s="25"/>
      <x:c r="H217" s="25"/>
      <x:c r="I217" s="25"/>
      <x:c r="J217" s="25"/>
      <x:c r="K217" s="25"/>
      <x:c r="L217" s="25"/>
      <x:c r="M217" s="25"/>
      <x:c r="N217" s="25"/>
      <x:c r="O217" s="25"/>
      <x:c r="P217" s="25"/>
      <x:c r="Q217" s="25"/>
      <x:c r="R217" s="25"/>
      <x:c r="S217" s="25"/>
      <x:c r="T217" s="25"/>
      <x:c r="U217" s="25"/>
      <x:c r="V217" s="25"/>
      <x:c r="W217" s="25"/>
      <x:c r="X217" s="25"/>
      <x:c r="Y217" s="25"/>
      <x:c r="Z217" s="25"/>
    </x:row>
    <x:row r="218">
      <x:c r="A218" s="25"/>
      <x:c r="B218" s="25"/>
      <x:c r="C218" s="25"/>
      <x:c r="D218" s="25"/>
      <x:c r="E218" s="25"/>
      <x:c r="F218" s="25"/>
      <x:c r="G218" s="25"/>
      <x:c r="H218" s="25"/>
      <x:c r="I218" s="25"/>
      <x:c r="J218" s="25"/>
      <x:c r="K218" s="25"/>
      <x:c r="L218" s="25"/>
      <x:c r="M218" s="25"/>
      <x:c r="N218" s="25"/>
      <x:c r="O218" s="25"/>
      <x:c r="P218" s="25"/>
      <x:c r="Q218" s="25"/>
      <x:c r="R218" s="25"/>
      <x:c r="S218" s="25"/>
      <x:c r="T218" s="25"/>
      <x:c r="U218" s="25"/>
      <x:c r="V218" s="25"/>
      <x:c r="W218" s="25"/>
      <x:c r="X218" s="25"/>
      <x:c r="Y218" s="25"/>
      <x:c r="Z218" s="25"/>
    </x:row>
    <x:row r="219">
      <x:c r="A219" s="25"/>
      <x:c r="B219" s="25"/>
      <x:c r="C219" s="25"/>
      <x:c r="D219" s="25"/>
      <x:c r="E219" s="25"/>
      <x:c r="F219" s="25"/>
      <x:c r="G219" s="25"/>
      <x:c r="H219" s="25"/>
      <x:c r="I219" s="25"/>
      <x:c r="J219" s="25"/>
      <x:c r="K219" s="25"/>
      <x:c r="L219" s="25"/>
      <x:c r="M219" s="25"/>
      <x:c r="N219" s="25"/>
      <x:c r="O219" s="25"/>
      <x:c r="P219" s="25"/>
      <x:c r="Q219" s="25"/>
      <x:c r="R219" s="25"/>
      <x:c r="S219" s="25"/>
      <x:c r="T219" s="25"/>
      <x:c r="U219" s="25"/>
      <x:c r="V219" s="25"/>
      <x:c r="W219" s="25"/>
      <x:c r="X219" s="25"/>
      <x:c r="Y219" s="25"/>
      <x:c r="Z219" s="25"/>
    </x:row>
    <x:row r="220">
      <x:c r="A220" s="25"/>
      <x:c r="B220" s="25"/>
      <x:c r="C220" s="25"/>
      <x:c r="D220" s="25"/>
      <x:c r="E220" s="25"/>
      <x:c r="F220" s="25"/>
      <x:c r="G220" s="25"/>
      <x:c r="H220" s="25"/>
      <x:c r="I220" s="25"/>
      <x:c r="J220" s="25"/>
      <x:c r="K220" s="25"/>
      <x:c r="L220" s="25"/>
      <x:c r="M220" s="25"/>
      <x:c r="N220" s="25"/>
      <x:c r="O220" s="25"/>
      <x:c r="P220" s="25"/>
      <x:c r="Q220" s="25"/>
      <x:c r="R220" s="25"/>
      <x:c r="S220" s="25"/>
      <x:c r="T220" s="25"/>
      <x:c r="U220" s="25"/>
      <x:c r="V220" s="25"/>
      <x:c r="W220" s="25"/>
      <x:c r="X220" s="25"/>
      <x:c r="Y220" s="25"/>
      <x:c r="Z220" s="25"/>
    </x:row>
    <x:row r="221">
      <x:c r="A221" s="25"/>
      <x:c r="B221" s="25"/>
      <x:c r="C221" s="25"/>
      <x:c r="D221" s="25"/>
      <x:c r="E221" s="25"/>
      <x:c r="F221" s="25"/>
      <x:c r="G221" s="25"/>
      <x:c r="H221" s="25"/>
      <x:c r="I221" s="25"/>
      <x:c r="J221" s="25"/>
      <x:c r="K221" s="25"/>
      <x:c r="L221" s="25"/>
      <x:c r="M221" s="25"/>
      <x:c r="N221" s="25"/>
      <x:c r="O221" s="25"/>
      <x:c r="P221" s="25"/>
      <x:c r="Q221" s="25"/>
      <x:c r="R221" s="25"/>
      <x:c r="S221" s="25"/>
      <x:c r="T221" s="25"/>
      <x:c r="U221" s="25"/>
      <x:c r="V221" s="25"/>
      <x:c r="W221" s="25"/>
      <x:c r="X221" s="25"/>
      <x:c r="Y221" s="25"/>
      <x:c r="Z221" s="25"/>
    </x:row>
    <x:row r="222">
      <x:c r="A222" s="25"/>
      <x:c r="B222" s="25"/>
      <x:c r="C222" s="25"/>
      <x:c r="D222" s="25"/>
      <x:c r="E222" s="25"/>
      <x:c r="F222" s="25"/>
      <x:c r="G222" s="25"/>
      <x:c r="H222" s="25"/>
      <x:c r="I222" s="25"/>
      <x:c r="J222" s="25"/>
      <x:c r="K222" s="25"/>
      <x:c r="L222" s="25"/>
      <x:c r="M222" s="25"/>
      <x:c r="N222" s="25"/>
      <x:c r="O222" s="25"/>
      <x:c r="P222" s="25"/>
      <x:c r="Q222" s="25"/>
      <x:c r="R222" s="25"/>
      <x:c r="S222" s="25"/>
      <x:c r="T222" s="25"/>
      <x:c r="U222" s="25"/>
      <x:c r="V222" s="25"/>
      <x:c r="W222" s="25"/>
      <x:c r="X222" s="25"/>
      <x:c r="Y222" s="25"/>
      <x:c r="Z222" s="25"/>
    </x:row>
    <x:row r="223">
      <x:c r="A223" s="25"/>
      <x:c r="B223" s="25"/>
      <x:c r="C223" s="25"/>
      <x:c r="D223" s="25"/>
      <x:c r="E223" s="25"/>
      <x:c r="F223" s="25"/>
      <x:c r="G223" s="25"/>
      <x:c r="H223" s="25"/>
      <x:c r="I223" s="25"/>
      <x:c r="J223" s="25"/>
      <x:c r="K223" s="25"/>
      <x:c r="L223" s="25"/>
      <x:c r="M223" s="25"/>
      <x:c r="N223" s="25"/>
      <x:c r="O223" s="25"/>
      <x:c r="P223" s="25"/>
      <x:c r="Q223" s="25"/>
      <x:c r="R223" s="25"/>
      <x:c r="S223" s="25"/>
      <x:c r="T223" s="25"/>
      <x:c r="U223" s="25"/>
      <x:c r="V223" s="25"/>
      <x:c r="W223" s="25"/>
      <x:c r="X223" s="25"/>
      <x:c r="Y223" s="25"/>
      <x:c r="Z223" s="25"/>
    </x:row>
    <x:row r="224">
      <x:c r="A224" s="25"/>
      <x:c r="B224" s="25"/>
      <x:c r="C224" s="25"/>
      <x:c r="D224" s="25"/>
      <x:c r="E224" s="25"/>
      <x:c r="F224" s="25"/>
      <x:c r="G224" s="25"/>
      <x:c r="H224" s="25"/>
      <x:c r="I224" s="25"/>
      <x:c r="J224" s="25"/>
      <x:c r="K224" s="25"/>
      <x:c r="L224" s="25"/>
      <x:c r="M224" s="25"/>
      <x:c r="N224" s="25"/>
      <x:c r="O224" s="25"/>
      <x:c r="P224" s="25"/>
      <x:c r="Q224" s="25"/>
      <x:c r="R224" s="25"/>
      <x:c r="S224" s="25"/>
      <x:c r="T224" s="25"/>
      <x:c r="U224" s="25"/>
      <x:c r="V224" s="25"/>
      <x:c r="W224" s="25"/>
      <x:c r="X224" s="25"/>
      <x:c r="Y224" s="25"/>
      <x:c r="Z224" s="25"/>
    </x:row>
    <x:row r="225">
      <x:c r="A225" s="25"/>
      <x:c r="B225" s="25"/>
      <x:c r="C225" s="25"/>
      <x:c r="D225" s="25"/>
      <x:c r="E225" s="25"/>
      <x:c r="F225" s="25"/>
      <x:c r="G225" s="25"/>
      <x:c r="H225" s="25"/>
      <x:c r="I225" s="25"/>
      <x:c r="J225" s="25"/>
      <x:c r="K225" s="25"/>
      <x:c r="L225" s="25"/>
      <x:c r="M225" s="25"/>
      <x:c r="N225" s="25"/>
      <x:c r="O225" s="25"/>
      <x:c r="P225" s="25"/>
      <x:c r="Q225" s="25"/>
      <x:c r="R225" s="25"/>
      <x:c r="S225" s="25"/>
      <x:c r="T225" s="25"/>
      <x:c r="U225" s="25"/>
      <x:c r="V225" s="25"/>
      <x:c r="W225" s="25"/>
      <x:c r="X225" s="25"/>
      <x:c r="Y225" s="25"/>
      <x:c r="Z225" s="25"/>
    </x:row>
    <x:row r="226">
      <x:c r="A226" s="25"/>
      <x:c r="B226" s="25"/>
      <x:c r="C226" s="25"/>
      <x:c r="D226" s="25"/>
      <x:c r="E226" s="25"/>
      <x:c r="F226" s="25"/>
      <x:c r="G226" s="25"/>
      <x:c r="H226" s="25"/>
      <x:c r="I226" s="25"/>
      <x:c r="J226" s="25"/>
      <x:c r="K226" s="25"/>
      <x:c r="L226" s="25"/>
      <x:c r="M226" s="25"/>
      <x:c r="N226" s="25"/>
      <x:c r="O226" s="25"/>
      <x:c r="P226" s="25"/>
      <x:c r="Q226" s="25"/>
      <x:c r="R226" s="25"/>
      <x:c r="S226" s="25"/>
      <x:c r="T226" s="25"/>
      <x:c r="U226" s="25"/>
      <x:c r="V226" s="25"/>
      <x:c r="W226" s="25"/>
      <x:c r="X226" s="25"/>
      <x:c r="Y226" s="25"/>
      <x:c r="Z226" s="25"/>
    </x:row>
    <x:row r="227">
      <x:c r="A227" s="25"/>
      <x:c r="B227" s="25"/>
      <x:c r="C227" s="25"/>
      <x:c r="D227" s="25"/>
      <x:c r="E227" s="25"/>
      <x:c r="F227" s="25"/>
      <x:c r="G227" s="25"/>
      <x:c r="H227" s="25"/>
      <x:c r="I227" s="25"/>
      <x:c r="J227" s="25"/>
      <x:c r="K227" s="25"/>
      <x:c r="L227" s="25"/>
      <x:c r="M227" s="25"/>
      <x:c r="N227" s="25"/>
      <x:c r="O227" s="25"/>
      <x:c r="P227" s="25"/>
      <x:c r="Q227" s="25"/>
      <x:c r="R227" s="25"/>
      <x:c r="S227" s="25"/>
      <x:c r="T227" s="25"/>
      <x:c r="U227" s="25"/>
      <x:c r="V227" s="25"/>
      <x:c r="W227" s="25"/>
      <x:c r="X227" s="25"/>
      <x:c r="Y227" s="25"/>
      <x:c r="Z227" s="25"/>
    </x:row>
    <x:row r="228">
      <x:c r="A228" s="25"/>
      <x:c r="B228" s="25"/>
      <x:c r="C228" s="25"/>
      <x:c r="D228" s="25"/>
      <x:c r="E228" s="25"/>
      <x:c r="F228" s="25"/>
      <x:c r="G228" s="25"/>
      <x:c r="H228" s="25"/>
      <x:c r="I228" s="25"/>
      <x:c r="J228" s="25"/>
      <x:c r="K228" s="25"/>
      <x:c r="L228" s="25"/>
      <x:c r="M228" s="25"/>
      <x:c r="N228" s="25"/>
      <x:c r="O228" s="25"/>
      <x:c r="P228" s="25"/>
      <x:c r="Q228" s="25"/>
      <x:c r="R228" s="25"/>
      <x:c r="S228" s="25"/>
      <x:c r="T228" s="25"/>
      <x:c r="U228" s="25"/>
      <x:c r="V228" s="25"/>
      <x:c r="W228" s="25"/>
      <x:c r="X228" s="25"/>
      <x:c r="Y228" s="25"/>
      <x:c r="Z228" s="25"/>
    </x:row>
    <x:row r="229">
      <x:c r="A229" s="25"/>
      <x:c r="B229" s="25"/>
      <x:c r="C229" s="25"/>
      <x:c r="D229" s="25"/>
      <x:c r="E229" s="25"/>
      <x:c r="F229" s="25"/>
      <x:c r="G229" s="25"/>
      <x:c r="H229" s="25"/>
      <x:c r="I229" s="25"/>
      <x:c r="J229" s="25"/>
      <x:c r="K229" s="25"/>
      <x:c r="L229" s="25"/>
      <x:c r="M229" s="25"/>
      <x:c r="N229" s="25"/>
      <x:c r="O229" s="25"/>
      <x:c r="P229" s="25"/>
      <x:c r="Q229" s="25"/>
      <x:c r="R229" s="25"/>
      <x:c r="S229" s="25"/>
      <x:c r="T229" s="25"/>
      <x:c r="U229" s="25"/>
      <x:c r="V229" s="25"/>
      <x:c r="W229" s="25"/>
      <x:c r="X229" s="25"/>
      <x:c r="Y229" s="25"/>
      <x:c r="Z229" s="25"/>
    </x:row>
    <x:row r="230">
      <x:c r="A230" s="25"/>
      <x:c r="B230" s="25"/>
      <x:c r="C230" s="25"/>
      <x:c r="D230" s="25"/>
      <x:c r="E230" s="25"/>
      <x:c r="F230" s="25"/>
      <x:c r="G230" s="25"/>
      <x:c r="H230" s="25"/>
      <x:c r="I230" s="25"/>
      <x:c r="J230" s="25"/>
      <x:c r="K230" s="25"/>
      <x:c r="L230" s="25"/>
      <x:c r="M230" s="25"/>
      <x:c r="N230" s="25"/>
      <x:c r="O230" s="25"/>
      <x:c r="P230" s="25"/>
      <x:c r="Q230" s="25"/>
      <x:c r="R230" s="25"/>
      <x:c r="S230" s="25"/>
      <x:c r="T230" s="25"/>
      <x:c r="U230" s="25"/>
      <x:c r="V230" s="25"/>
      <x:c r="W230" s="25"/>
      <x:c r="X230" s="25"/>
      <x:c r="Y230" s="25"/>
      <x:c r="Z230" s="25"/>
    </x:row>
    <x:row r="231">
      <x:c r="A231" s="25"/>
      <x:c r="B231" s="25"/>
      <x:c r="C231" s="25"/>
      <x:c r="D231" s="25"/>
      <x:c r="E231" s="25"/>
      <x:c r="F231" s="25"/>
      <x:c r="G231" s="25"/>
      <x:c r="H231" s="25"/>
      <x:c r="I231" s="25"/>
      <x:c r="J231" s="25"/>
      <x:c r="K231" s="25"/>
      <x:c r="L231" s="25"/>
      <x:c r="M231" s="25"/>
      <x:c r="N231" s="25"/>
      <x:c r="O231" s="25"/>
      <x:c r="P231" s="25"/>
      <x:c r="Q231" s="25"/>
      <x:c r="R231" s="25"/>
      <x:c r="S231" s="25"/>
      <x:c r="T231" s="25"/>
      <x:c r="U231" s="25"/>
      <x:c r="V231" s="25"/>
      <x:c r="W231" s="25"/>
      <x:c r="X231" s="25"/>
      <x:c r="Y231" s="25"/>
      <x:c r="Z231" s="25"/>
    </x:row>
    <x:row r="232">
      <x:c r="A232" s="25"/>
      <x:c r="B232" s="25"/>
      <x:c r="C232" s="25"/>
      <x:c r="D232" s="25"/>
      <x:c r="E232" s="25"/>
      <x:c r="F232" s="25"/>
      <x:c r="G232" s="25"/>
      <x:c r="H232" s="25"/>
      <x:c r="I232" s="25"/>
      <x:c r="J232" s="25"/>
      <x:c r="K232" s="25"/>
      <x:c r="L232" s="25"/>
      <x:c r="M232" s="25"/>
      <x:c r="N232" s="25"/>
      <x:c r="O232" s="25"/>
      <x:c r="P232" s="25"/>
      <x:c r="Q232" s="25"/>
      <x:c r="R232" s="25"/>
      <x:c r="S232" s="25"/>
      <x:c r="T232" s="25"/>
      <x:c r="U232" s="25"/>
      <x:c r="V232" s="25"/>
      <x:c r="W232" s="25"/>
      <x:c r="X232" s="25"/>
      <x:c r="Y232" s="25"/>
      <x:c r="Z232" s="25"/>
    </x:row>
    <x:row r="233">
      <x:c r="A233" s="25"/>
      <x:c r="B233" s="25"/>
      <x:c r="C233" s="25"/>
      <x:c r="D233" s="25"/>
      <x:c r="E233" s="25"/>
      <x:c r="F233" s="25"/>
      <x:c r="G233" s="25"/>
      <x:c r="H233" s="25"/>
      <x:c r="I233" s="25"/>
      <x:c r="J233" s="25"/>
      <x:c r="K233" s="25"/>
      <x:c r="L233" s="25"/>
      <x:c r="M233" s="25"/>
      <x:c r="N233" s="25"/>
      <x:c r="O233" s="25"/>
      <x:c r="P233" s="25"/>
      <x:c r="Q233" s="25"/>
      <x:c r="R233" s="25"/>
      <x:c r="S233" s="25"/>
      <x:c r="T233" s="25"/>
      <x:c r="U233" s="25"/>
      <x:c r="V233" s="25"/>
      <x:c r="W233" s="25"/>
      <x:c r="X233" s="25"/>
      <x:c r="Y233" s="25"/>
      <x:c r="Z233" s="25"/>
    </x:row>
    <x:row r="234">
      <x:c r="A234" s="25"/>
      <x:c r="B234" s="25"/>
      <x:c r="C234" s="25"/>
      <x:c r="D234" s="25"/>
      <x:c r="E234" s="25"/>
      <x:c r="F234" s="25"/>
      <x:c r="G234" s="25"/>
      <x:c r="H234" s="25"/>
      <x:c r="I234" s="25"/>
      <x:c r="J234" s="25"/>
      <x:c r="K234" s="25"/>
      <x:c r="L234" s="25"/>
      <x:c r="M234" s="25"/>
      <x:c r="N234" s="25"/>
      <x:c r="O234" s="25"/>
      <x:c r="P234" s="25"/>
      <x:c r="Q234" s="25"/>
      <x:c r="R234" s="25"/>
      <x:c r="S234" s="25"/>
      <x:c r="T234" s="25"/>
      <x:c r="U234" s="25"/>
      <x:c r="V234" s="25"/>
      <x:c r="W234" s="25"/>
      <x:c r="X234" s="25"/>
      <x:c r="Y234" s="25"/>
      <x:c r="Z234" s="25"/>
    </x:row>
    <x:row r="235">
      <x:c r="A235" s="25"/>
      <x:c r="B235" s="25"/>
      <x:c r="C235" s="25"/>
      <x:c r="D235" s="25"/>
      <x:c r="E235" s="25"/>
      <x:c r="F235" s="25"/>
      <x:c r="G235" s="25"/>
      <x:c r="H235" s="25"/>
      <x:c r="I235" s="25"/>
      <x:c r="J235" s="25"/>
      <x:c r="K235" s="25"/>
      <x:c r="L235" s="25"/>
      <x:c r="M235" s="25"/>
      <x:c r="N235" s="25"/>
      <x:c r="O235" s="25"/>
      <x:c r="P235" s="25"/>
      <x:c r="Q235" s="25"/>
      <x:c r="R235" s="25"/>
      <x:c r="S235" s="25"/>
      <x:c r="T235" s="25"/>
      <x:c r="U235" s="25"/>
      <x:c r="V235" s="25"/>
      <x:c r="W235" s="25"/>
      <x:c r="X235" s="25"/>
      <x:c r="Y235" s="25"/>
      <x:c r="Z235" s="25"/>
    </x:row>
    <x:row r="236">
      <x:c r="A236" s="25"/>
      <x:c r="B236" s="25"/>
      <x:c r="C236" s="25"/>
      <x:c r="D236" s="25"/>
      <x:c r="E236" s="25"/>
      <x:c r="F236" s="25"/>
      <x:c r="G236" s="25"/>
      <x:c r="H236" s="25"/>
      <x:c r="I236" s="25"/>
      <x:c r="J236" s="25"/>
      <x:c r="K236" s="25"/>
      <x:c r="L236" s="25"/>
      <x:c r="M236" s="25"/>
      <x:c r="N236" s="25"/>
      <x:c r="O236" s="25"/>
      <x:c r="P236" s="25"/>
      <x:c r="Q236" s="25"/>
      <x:c r="R236" s="25"/>
      <x:c r="S236" s="25"/>
      <x:c r="T236" s="25"/>
      <x:c r="U236" s="25"/>
      <x:c r="V236" s="25"/>
      <x:c r="W236" s="25"/>
      <x:c r="X236" s="25"/>
      <x:c r="Y236" s="25"/>
      <x:c r="Z236" s="25"/>
    </x:row>
    <x:row r="237">
      <x:c r="A237" s="25"/>
      <x:c r="B237" s="25"/>
      <x:c r="C237" s="25"/>
      <x:c r="D237" s="25"/>
      <x:c r="E237" s="25"/>
      <x:c r="F237" s="25"/>
      <x:c r="G237" s="25"/>
      <x:c r="H237" s="25"/>
      <x:c r="I237" s="25"/>
      <x:c r="J237" s="25"/>
      <x:c r="K237" s="25"/>
      <x:c r="L237" s="25"/>
      <x:c r="M237" s="25"/>
      <x:c r="N237" s="25"/>
      <x:c r="O237" s="25"/>
      <x:c r="P237" s="25"/>
      <x:c r="Q237" s="25"/>
      <x:c r="R237" s="25"/>
      <x:c r="S237" s="25"/>
      <x:c r="T237" s="25"/>
      <x:c r="U237" s="25"/>
      <x:c r="V237" s="25"/>
      <x:c r="W237" s="25"/>
      <x:c r="X237" s="25"/>
      <x:c r="Y237" s="25"/>
      <x:c r="Z237" s="25"/>
    </x:row>
    <x:row r="238">
      <x:c r="A238" s="25"/>
      <x:c r="B238" s="25"/>
      <x:c r="C238" s="25"/>
      <x:c r="D238" s="25"/>
      <x:c r="E238" s="25"/>
      <x:c r="F238" s="25"/>
      <x:c r="G238" s="25"/>
      <x:c r="H238" s="25"/>
      <x:c r="I238" s="25"/>
      <x:c r="J238" s="25"/>
      <x:c r="K238" s="25"/>
      <x:c r="L238" s="25"/>
      <x:c r="M238" s="25"/>
      <x:c r="N238" s="25"/>
      <x:c r="O238" s="25"/>
      <x:c r="P238" s="25"/>
      <x:c r="Q238" s="25"/>
      <x:c r="R238" s="25"/>
      <x:c r="S238" s="25"/>
      <x:c r="T238" s="25"/>
      <x:c r="U238" s="25"/>
      <x:c r="V238" s="25"/>
      <x:c r="W238" s="25"/>
      <x:c r="X238" s="25"/>
      <x:c r="Y238" s="25"/>
      <x:c r="Z238" s="25"/>
    </x:row>
    <x:row r="239">
      <x:c r="A239" s="25"/>
      <x:c r="B239" s="25"/>
      <x:c r="C239" s="25"/>
      <x:c r="D239" s="25"/>
      <x:c r="E239" s="25"/>
      <x:c r="F239" s="25"/>
      <x:c r="G239" s="25"/>
      <x:c r="H239" s="25"/>
      <x:c r="I239" s="25"/>
      <x:c r="J239" s="25"/>
      <x:c r="K239" s="25"/>
      <x:c r="L239" s="25"/>
      <x:c r="M239" s="25"/>
      <x:c r="N239" s="25"/>
      <x:c r="O239" s="25"/>
      <x:c r="P239" s="25"/>
      <x:c r="Q239" s="25"/>
      <x:c r="R239" s="25"/>
      <x:c r="S239" s="25"/>
      <x:c r="T239" s="25"/>
      <x:c r="U239" s="25"/>
      <x:c r="V239" s="25"/>
      <x:c r="W239" s="25"/>
      <x:c r="X239" s="25"/>
      <x:c r="Y239" s="25"/>
      <x:c r="Z239" s="25"/>
    </x:row>
    <x:row r="240">
      <x:c r="A240" s="25"/>
      <x:c r="B240" s="25"/>
      <x:c r="C240" s="25"/>
      <x:c r="D240" s="25"/>
      <x:c r="E240" s="25"/>
      <x:c r="F240" s="25"/>
      <x:c r="G240" s="25"/>
      <x:c r="H240" s="25"/>
      <x:c r="I240" s="25"/>
      <x:c r="J240" s="25"/>
      <x:c r="K240" s="25"/>
      <x:c r="L240" s="25"/>
      <x:c r="M240" s="25"/>
      <x:c r="N240" s="25"/>
      <x:c r="O240" s="25"/>
      <x:c r="P240" s="25"/>
      <x:c r="Q240" s="25"/>
      <x:c r="R240" s="25"/>
      <x:c r="S240" s="25"/>
      <x:c r="T240" s="25"/>
      <x:c r="U240" s="25"/>
      <x:c r="V240" s="25"/>
      <x:c r="W240" s="25"/>
      <x:c r="X240" s="25"/>
      <x:c r="Y240" s="25"/>
      <x:c r="Z240" s="25"/>
    </x:row>
    <x:row r="241">
      <x:c r="A241" s="25"/>
      <x:c r="B241" s="25"/>
      <x:c r="C241" s="25"/>
      <x:c r="D241" s="25"/>
      <x:c r="E241" s="25"/>
      <x:c r="F241" s="25"/>
      <x:c r="G241" s="25"/>
      <x:c r="H241" s="25"/>
      <x:c r="I241" s="25"/>
      <x:c r="J241" s="25"/>
      <x:c r="K241" s="25"/>
      <x:c r="L241" s="25"/>
      <x:c r="M241" s="25"/>
      <x:c r="N241" s="25"/>
      <x:c r="O241" s="25"/>
      <x:c r="P241" s="25"/>
      <x:c r="Q241" s="25"/>
      <x:c r="R241" s="25"/>
      <x:c r="S241" s="25"/>
      <x:c r="T241" s="25"/>
      <x:c r="U241" s="25"/>
      <x:c r="V241" s="25"/>
      <x:c r="W241" s="25"/>
      <x:c r="X241" s="25"/>
      <x:c r="Y241" s="25"/>
      <x:c r="Z241" s="25"/>
    </x:row>
    <x:row r="242">
      <x:c r="A242" s="25"/>
      <x:c r="B242" s="25"/>
      <x:c r="C242" s="25"/>
      <x:c r="D242" s="25"/>
      <x:c r="E242" s="25"/>
      <x:c r="F242" s="25"/>
      <x:c r="G242" s="25"/>
      <x:c r="H242" s="25"/>
      <x:c r="I242" s="25"/>
      <x:c r="J242" s="25"/>
      <x:c r="K242" s="25"/>
      <x:c r="L242" s="25"/>
      <x:c r="M242" s="25"/>
      <x:c r="N242" s="25"/>
      <x:c r="O242" s="25"/>
      <x:c r="P242" s="25"/>
      <x:c r="Q242" s="25"/>
      <x:c r="R242" s="25"/>
      <x:c r="S242" s="25"/>
      <x:c r="T242" s="25"/>
      <x:c r="U242" s="25"/>
      <x:c r="V242" s="25"/>
      <x:c r="W242" s="25"/>
      <x:c r="X242" s="25"/>
      <x:c r="Y242" s="25"/>
      <x:c r="Z242" s="25"/>
    </x:row>
    <x:row r="243">
      <x:c r="A243" s="25"/>
      <x:c r="B243" s="25"/>
      <x:c r="C243" s="25"/>
      <x:c r="D243" s="25"/>
      <x:c r="E243" s="25"/>
      <x:c r="F243" s="25"/>
      <x:c r="G243" s="25"/>
      <x:c r="H243" s="25"/>
      <x:c r="I243" s="25"/>
      <x:c r="J243" s="25"/>
      <x:c r="K243" s="25"/>
      <x:c r="L243" s="25"/>
      <x:c r="M243" s="25"/>
      <x:c r="N243" s="25"/>
      <x:c r="O243" s="25"/>
      <x:c r="P243" s="25"/>
      <x:c r="Q243" s="25"/>
      <x:c r="R243" s="25"/>
      <x:c r="S243" s="25"/>
      <x:c r="T243" s="25"/>
      <x:c r="U243" s="25"/>
      <x:c r="V243" s="25"/>
      <x:c r="W243" s="25"/>
      <x:c r="X243" s="25"/>
      <x:c r="Y243" s="25"/>
      <x:c r="Z243" s="25"/>
    </x:row>
    <x:row r="244">
      <x:c r="A244" s="25"/>
      <x:c r="B244" s="25"/>
      <x:c r="C244" s="25"/>
      <x:c r="D244" s="25"/>
      <x:c r="E244" s="25"/>
      <x:c r="F244" s="25"/>
      <x:c r="G244" s="25"/>
      <x:c r="H244" s="25"/>
      <x:c r="I244" s="25"/>
      <x:c r="J244" s="25"/>
      <x:c r="K244" s="25"/>
      <x:c r="L244" s="25"/>
      <x:c r="M244" s="25"/>
      <x:c r="N244" s="25"/>
      <x:c r="O244" s="25"/>
      <x:c r="P244" s="25"/>
      <x:c r="Q244" s="25"/>
      <x:c r="R244" s="25"/>
      <x:c r="S244" s="25"/>
      <x:c r="T244" s="25"/>
      <x:c r="U244" s="25"/>
      <x:c r="V244" s="25"/>
      <x:c r="W244" s="25"/>
      <x:c r="X244" s="25"/>
      <x:c r="Y244" s="25"/>
      <x:c r="Z244" s="25"/>
    </x:row>
    <x:row r="245">
      <x:c r="A245" s="25"/>
      <x:c r="B245" s="25"/>
      <x:c r="C245" s="25"/>
      <x:c r="D245" s="25"/>
      <x:c r="E245" s="25"/>
      <x:c r="F245" s="25"/>
      <x:c r="G245" s="25"/>
      <x:c r="H245" s="25"/>
      <x:c r="I245" s="25"/>
      <x:c r="J245" s="25"/>
      <x:c r="K245" s="25"/>
      <x:c r="L245" s="25"/>
      <x:c r="M245" s="25"/>
      <x:c r="N245" s="25"/>
      <x:c r="O245" s="25"/>
      <x:c r="P245" s="25"/>
      <x:c r="Q245" s="25"/>
      <x:c r="R245" s="25"/>
      <x:c r="S245" s="25"/>
      <x:c r="T245" s="25"/>
      <x:c r="U245" s="25"/>
      <x:c r="V245" s="25"/>
      <x:c r="W245" s="25"/>
      <x:c r="X245" s="25"/>
      <x:c r="Y245" s="25"/>
      <x:c r="Z245" s="25"/>
    </x:row>
    <x:row r="246">
      <x:c r="A246" s="25"/>
      <x:c r="B246" s="25"/>
      <x:c r="C246" s="25"/>
      <x:c r="D246" s="25"/>
      <x:c r="E246" s="25"/>
      <x:c r="F246" s="25"/>
      <x:c r="G246" s="25"/>
      <x:c r="H246" s="25"/>
      <x:c r="I246" s="25"/>
      <x:c r="J246" s="25"/>
      <x:c r="K246" s="25"/>
      <x:c r="L246" s="25"/>
      <x:c r="M246" s="25"/>
      <x:c r="N246" s="25"/>
      <x:c r="O246" s="25"/>
      <x:c r="P246" s="25"/>
      <x:c r="Q246" s="25"/>
      <x:c r="R246" s="25"/>
      <x:c r="S246" s="25"/>
      <x:c r="T246" s="25"/>
      <x:c r="U246" s="25"/>
      <x:c r="V246" s="25"/>
      <x:c r="W246" s="25"/>
      <x:c r="X246" s="25"/>
      <x:c r="Y246" s="25"/>
      <x:c r="Z246" s="25"/>
    </x:row>
    <x:row r="247">
      <x:c r="A247" s="25"/>
      <x:c r="B247" s="25"/>
      <x:c r="C247" s="25"/>
      <x:c r="D247" s="25"/>
      <x:c r="E247" s="25"/>
      <x:c r="F247" s="25"/>
      <x:c r="G247" s="25"/>
      <x:c r="H247" s="25"/>
      <x:c r="I247" s="25"/>
      <x:c r="J247" s="25"/>
      <x:c r="K247" s="25"/>
      <x:c r="L247" s="25"/>
      <x:c r="M247" s="25"/>
      <x:c r="N247" s="25"/>
      <x:c r="O247" s="25"/>
      <x:c r="P247" s="25"/>
      <x:c r="Q247" s="25"/>
      <x:c r="R247" s="25"/>
      <x:c r="S247" s="25"/>
      <x:c r="T247" s="25"/>
      <x:c r="U247" s="25"/>
      <x:c r="V247" s="25"/>
      <x:c r="W247" s="25"/>
      <x:c r="X247" s="25"/>
      <x:c r="Y247" s="25"/>
      <x:c r="Z247" s="25"/>
    </x:row>
    <x:row r="248">
      <x:c r="A248" s="25"/>
      <x:c r="B248" s="25"/>
      <x:c r="C248" s="25"/>
      <x:c r="D248" s="25"/>
      <x:c r="E248" s="25"/>
      <x:c r="F248" s="25"/>
      <x:c r="G248" s="25"/>
      <x:c r="H248" s="25"/>
      <x:c r="I248" s="25"/>
      <x:c r="J248" s="25"/>
      <x:c r="K248" s="25"/>
      <x:c r="L248" s="25"/>
      <x:c r="M248" s="25"/>
      <x:c r="N248" s="25"/>
      <x:c r="O248" s="25"/>
      <x:c r="P248" s="25"/>
      <x:c r="Q248" s="25"/>
      <x:c r="R248" s="25"/>
      <x:c r="S248" s="25"/>
      <x:c r="T248" s="25"/>
      <x:c r="U248" s="25"/>
      <x:c r="V248" s="25"/>
      <x:c r="W248" s="25"/>
      <x:c r="X248" s="25"/>
      <x:c r="Y248" s="25"/>
      <x:c r="Z248" s="25"/>
    </x:row>
    <x:row r="249">
      <x:c r="A249" s="25"/>
      <x:c r="B249" s="25"/>
      <x:c r="C249" s="25"/>
      <x:c r="D249" s="25"/>
      <x:c r="E249" s="25"/>
      <x:c r="F249" s="25"/>
      <x:c r="G249" s="25"/>
      <x:c r="H249" s="25"/>
      <x:c r="I249" s="25"/>
      <x:c r="J249" s="25"/>
      <x:c r="K249" s="25"/>
      <x:c r="L249" s="25"/>
      <x:c r="M249" s="25"/>
      <x:c r="N249" s="25"/>
      <x:c r="O249" s="25"/>
      <x:c r="P249" s="25"/>
      <x:c r="Q249" s="25"/>
      <x:c r="R249" s="25"/>
      <x:c r="S249" s="25"/>
      <x:c r="T249" s="25"/>
      <x:c r="U249" s="25"/>
      <x:c r="V249" s="25"/>
      <x:c r="W249" s="25"/>
      <x:c r="X249" s="25"/>
      <x:c r="Y249" s="25"/>
      <x:c r="Z249" s="25"/>
    </x:row>
    <x:row r="250">
      <x:c r="A250" s="25"/>
      <x:c r="B250" s="25"/>
      <x:c r="C250" s="25"/>
      <x:c r="D250" s="25"/>
      <x:c r="E250" s="25"/>
      <x:c r="F250" s="25"/>
      <x:c r="G250" s="25"/>
      <x:c r="H250" s="25"/>
      <x:c r="I250" s="25"/>
      <x:c r="J250" s="25"/>
      <x:c r="K250" s="25"/>
      <x:c r="L250" s="25"/>
      <x:c r="M250" s="25"/>
      <x:c r="N250" s="25"/>
      <x:c r="O250" s="25"/>
      <x:c r="P250" s="25"/>
      <x:c r="Q250" s="25"/>
      <x:c r="R250" s="25"/>
      <x:c r="S250" s="25"/>
      <x:c r="T250" s="25"/>
      <x:c r="U250" s="25"/>
      <x:c r="V250" s="25"/>
      <x:c r="W250" s="25"/>
      <x:c r="X250" s="25"/>
      <x:c r="Y250" s="25"/>
      <x:c r="Z250" s="25"/>
    </x:row>
    <x:row r="251">
      <x:c r="A251" s="25"/>
      <x:c r="B251" s="25"/>
      <x:c r="C251" s="25"/>
      <x:c r="D251" s="25"/>
      <x:c r="E251" s="25"/>
      <x:c r="F251" s="25"/>
      <x:c r="G251" s="25"/>
      <x:c r="H251" s="25"/>
      <x:c r="I251" s="25"/>
      <x:c r="J251" s="25"/>
      <x:c r="K251" s="25"/>
      <x:c r="L251" s="25"/>
      <x:c r="M251" s="25"/>
      <x:c r="N251" s="25"/>
      <x:c r="O251" s="25"/>
      <x:c r="P251" s="25"/>
      <x:c r="Q251" s="25"/>
      <x:c r="R251" s="25"/>
      <x:c r="S251" s="25"/>
      <x:c r="T251" s="25"/>
      <x:c r="U251" s="25"/>
      <x:c r="V251" s="25"/>
      <x:c r="W251" s="25"/>
      <x:c r="X251" s="25"/>
      <x:c r="Y251" s="25"/>
      <x:c r="Z251" s="25"/>
    </x:row>
    <x:row r="252">
      <x:c r="A252" s="25"/>
      <x:c r="B252" s="25"/>
      <x:c r="C252" s="25"/>
      <x:c r="D252" s="25"/>
      <x:c r="E252" s="25"/>
      <x:c r="F252" s="25"/>
      <x:c r="G252" s="25"/>
      <x:c r="H252" s="25"/>
      <x:c r="I252" s="25"/>
      <x:c r="J252" s="25"/>
      <x:c r="K252" s="25"/>
      <x:c r="L252" s="25"/>
      <x:c r="M252" s="25"/>
      <x:c r="N252" s="25"/>
      <x:c r="O252" s="25"/>
      <x:c r="P252" s="25"/>
      <x:c r="Q252" s="25"/>
      <x:c r="R252" s="25"/>
      <x:c r="S252" s="25"/>
      <x:c r="T252" s="25"/>
      <x:c r="U252" s="25"/>
      <x:c r="V252" s="25"/>
      <x:c r="W252" s="25"/>
      <x:c r="X252" s="25"/>
      <x:c r="Y252" s="25"/>
      <x:c r="Z252" s="25"/>
    </x:row>
    <x:row r="253">
      <x:c r="A253" s="25"/>
      <x:c r="B253" s="25"/>
      <x:c r="C253" s="25"/>
      <x:c r="D253" s="25"/>
      <x:c r="E253" s="25"/>
      <x:c r="F253" s="25"/>
      <x:c r="G253" s="25"/>
      <x:c r="H253" s="25"/>
      <x:c r="I253" s="25"/>
      <x:c r="J253" s="25"/>
      <x:c r="K253" s="25"/>
      <x:c r="L253" s="25"/>
      <x:c r="M253" s="25"/>
      <x:c r="N253" s="25"/>
      <x:c r="O253" s="25"/>
      <x:c r="P253" s="25"/>
      <x:c r="Q253" s="25"/>
      <x:c r="R253" s="25"/>
      <x:c r="S253" s="25"/>
      <x:c r="T253" s="25"/>
      <x:c r="U253" s="25"/>
      <x:c r="V253" s="25"/>
      <x:c r="W253" s="25"/>
      <x:c r="X253" s="25"/>
      <x:c r="Y253" s="25"/>
      <x:c r="Z253" s="25"/>
    </x:row>
    <x:row r="254">
      <x:c r="A254" s="25"/>
      <x:c r="B254" s="25"/>
      <x:c r="C254" s="25"/>
      <x:c r="D254" s="25"/>
      <x:c r="E254" s="25"/>
      <x:c r="F254" s="25"/>
      <x:c r="G254" s="25"/>
      <x:c r="H254" s="25"/>
      <x:c r="I254" s="25"/>
      <x:c r="J254" s="25"/>
      <x:c r="K254" s="25"/>
      <x:c r="L254" s="25"/>
      <x:c r="M254" s="25"/>
      <x:c r="N254" s="25"/>
      <x:c r="O254" s="25"/>
      <x:c r="P254" s="25"/>
      <x:c r="Q254" s="25"/>
      <x:c r="R254" s="25"/>
      <x:c r="S254" s="25"/>
      <x:c r="T254" s="25"/>
      <x:c r="U254" s="25"/>
      <x:c r="V254" s="25"/>
      <x:c r="W254" s="25"/>
      <x:c r="X254" s="25"/>
      <x:c r="Y254" s="25"/>
      <x:c r="Z254" s="25"/>
    </x:row>
    <x:row r="255">
      <x:c r="A255" s="25"/>
      <x:c r="B255" s="25"/>
      <x:c r="C255" s="25"/>
      <x:c r="D255" s="25"/>
      <x:c r="E255" s="25"/>
      <x:c r="F255" s="25"/>
      <x:c r="G255" s="25"/>
      <x:c r="H255" s="25"/>
      <x:c r="I255" s="25"/>
      <x:c r="J255" s="25"/>
      <x:c r="K255" s="25"/>
      <x:c r="L255" s="25"/>
      <x:c r="M255" s="25"/>
      <x:c r="N255" s="25"/>
      <x:c r="O255" s="25"/>
      <x:c r="P255" s="25"/>
      <x:c r="Q255" s="25"/>
      <x:c r="R255" s="25"/>
      <x:c r="S255" s="25"/>
      <x:c r="T255" s="25"/>
      <x:c r="U255" s="25"/>
      <x:c r="V255" s="25"/>
      <x:c r="W255" s="25"/>
      <x:c r="X255" s="25"/>
      <x:c r="Y255" s="25"/>
      <x:c r="Z255" s="25"/>
    </x:row>
    <x:row r="256">
      <x:c r="A256" s="25"/>
      <x:c r="B256" s="25"/>
      <x:c r="C256" s="25"/>
      <x:c r="D256" s="25"/>
      <x:c r="E256" s="25"/>
      <x:c r="F256" s="25"/>
      <x:c r="G256" s="25"/>
      <x:c r="H256" s="25"/>
      <x:c r="I256" s="25"/>
      <x:c r="J256" s="25"/>
      <x:c r="K256" s="25"/>
      <x:c r="L256" s="25"/>
      <x:c r="M256" s="25"/>
      <x:c r="N256" s="25"/>
      <x:c r="O256" s="25"/>
      <x:c r="P256" s="25"/>
      <x:c r="Q256" s="25"/>
      <x:c r="R256" s="25"/>
      <x:c r="S256" s="25"/>
      <x:c r="T256" s="25"/>
      <x:c r="U256" s="25"/>
      <x:c r="V256" s="25"/>
      <x:c r="W256" s="25"/>
      <x:c r="X256" s="25"/>
      <x:c r="Y256" s="25"/>
      <x:c r="Z256" s="25"/>
    </x:row>
    <x:row r="257">
      <x:c r="A257" s="25"/>
      <x:c r="B257" s="25"/>
      <x:c r="C257" s="25"/>
      <x:c r="D257" s="25"/>
      <x:c r="E257" s="25"/>
      <x:c r="F257" s="25"/>
      <x:c r="G257" s="25"/>
      <x:c r="H257" s="25"/>
      <x:c r="I257" s="25"/>
      <x:c r="J257" s="25"/>
      <x:c r="K257" s="25"/>
      <x:c r="L257" s="25"/>
      <x:c r="M257" s="25"/>
      <x:c r="N257" s="25"/>
      <x:c r="O257" s="25"/>
      <x:c r="P257" s="25"/>
      <x:c r="Q257" s="25"/>
      <x:c r="R257" s="25"/>
      <x:c r="S257" s="25"/>
      <x:c r="T257" s="25"/>
      <x:c r="U257" s="25"/>
      <x:c r="V257" s="25"/>
      <x:c r="W257" s="25"/>
      <x:c r="X257" s="25"/>
      <x:c r="Y257" s="25"/>
      <x:c r="Z257" s="25"/>
    </x:row>
    <x:row r="258">
      <x:c r="A258" s="25"/>
      <x:c r="B258" s="25"/>
      <x:c r="C258" s="25"/>
      <x:c r="D258" s="25"/>
      <x:c r="E258" s="25"/>
      <x:c r="F258" s="25"/>
      <x:c r="G258" s="25"/>
      <x:c r="H258" s="25"/>
      <x:c r="I258" s="25"/>
      <x:c r="J258" s="25"/>
      <x:c r="K258" s="25"/>
      <x:c r="L258" s="25"/>
      <x:c r="M258" s="25"/>
      <x:c r="N258" s="25"/>
      <x:c r="O258" s="25"/>
      <x:c r="P258" s="25"/>
      <x:c r="Q258" s="25"/>
      <x:c r="R258" s="25"/>
      <x:c r="S258" s="25"/>
      <x:c r="T258" s="25"/>
      <x:c r="U258" s="25"/>
      <x:c r="V258" s="25"/>
      <x:c r="W258" s="25"/>
      <x:c r="X258" s="25"/>
      <x:c r="Y258" s="25"/>
      <x:c r="Z258" s="25"/>
    </x:row>
    <x:row r="259">
      <x:c r="A259" s="25"/>
      <x:c r="B259" s="25"/>
      <x:c r="C259" s="25"/>
      <x:c r="D259" s="25"/>
      <x:c r="E259" s="25"/>
      <x:c r="F259" s="25"/>
      <x:c r="G259" s="25"/>
      <x:c r="H259" s="25"/>
      <x:c r="I259" s="25"/>
      <x:c r="J259" s="25"/>
      <x:c r="K259" s="25"/>
      <x:c r="L259" s="25"/>
      <x:c r="M259" s="25"/>
      <x:c r="N259" s="25"/>
      <x:c r="O259" s="25"/>
      <x:c r="P259" s="25"/>
      <x:c r="Q259" s="25"/>
      <x:c r="R259" s="25"/>
      <x:c r="S259" s="25"/>
      <x:c r="T259" s="25"/>
      <x:c r="U259" s="25"/>
      <x:c r="V259" s="25"/>
      <x:c r="W259" s="25"/>
      <x:c r="X259" s="25"/>
      <x:c r="Y259" s="25"/>
      <x:c r="Z259" s="25"/>
    </x:row>
    <x:row r="260">
      <x:c r="A260" s="25"/>
      <x:c r="B260" s="25"/>
      <x:c r="C260" s="25"/>
      <x:c r="D260" s="25"/>
      <x:c r="E260" s="25"/>
      <x:c r="F260" s="25"/>
      <x:c r="G260" s="25"/>
      <x:c r="H260" s="25"/>
      <x:c r="I260" s="25"/>
      <x:c r="J260" s="25"/>
      <x:c r="K260" s="25"/>
      <x:c r="L260" s="25"/>
      <x:c r="M260" s="25"/>
      <x:c r="N260" s="25"/>
      <x:c r="O260" s="25"/>
      <x:c r="P260" s="25"/>
      <x:c r="Q260" s="25"/>
      <x:c r="R260" s="25"/>
      <x:c r="S260" s="25"/>
      <x:c r="T260" s="25"/>
      <x:c r="U260" s="25"/>
      <x:c r="V260" s="25"/>
      <x:c r="W260" s="25"/>
      <x:c r="X260" s="25"/>
      <x:c r="Y260" s="25"/>
      <x:c r="Z260" s="25"/>
    </x:row>
    <x:row r="261">
      <x:c r="A261" s="25"/>
      <x:c r="B261" s="25"/>
      <x:c r="C261" s="25"/>
      <x:c r="D261" s="25"/>
      <x:c r="E261" s="25"/>
      <x:c r="F261" s="25"/>
      <x:c r="G261" s="25"/>
      <x:c r="H261" s="25"/>
      <x:c r="I261" s="25"/>
      <x:c r="J261" s="25"/>
      <x:c r="K261" s="25"/>
      <x:c r="L261" s="25"/>
      <x:c r="M261" s="25"/>
      <x:c r="N261" s="25"/>
      <x:c r="O261" s="25"/>
      <x:c r="P261" s="25"/>
      <x:c r="Q261" s="25"/>
      <x:c r="R261" s="25"/>
      <x:c r="S261" s="25"/>
      <x:c r="T261" s="25"/>
      <x:c r="U261" s="25"/>
      <x:c r="V261" s="25"/>
      <x:c r="W261" s="25"/>
      <x:c r="X261" s="25"/>
      <x:c r="Y261" s="25"/>
      <x:c r="Z261" s="25"/>
    </x:row>
    <x:row r="262">
      <x:c r="A262" s="25"/>
      <x:c r="B262" s="25"/>
      <x:c r="C262" s="25"/>
      <x:c r="D262" s="25"/>
      <x:c r="E262" s="25"/>
      <x:c r="F262" s="25"/>
      <x:c r="G262" s="25"/>
      <x:c r="H262" s="25"/>
      <x:c r="I262" s="25"/>
      <x:c r="J262" s="25"/>
      <x:c r="K262" s="25"/>
      <x:c r="L262" s="25"/>
      <x:c r="M262" s="25"/>
      <x:c r="N262" s="25"/>
      <x:c r="O262" s="25"/>
      <x:c r="P262" s="25"/>
      <x:c r="Q262" s="25"/>
      <x:c r="R262" s="25"/>
      <x:c r="S262" s="25"/>
      <x:c r="T262" s="25"/>
      <x:c r="U262" s="25"/>
      <x:c r="V262" s="25"/>
      <x:c r="W262" s="25"/>
      <x:c r="X262" s="25"/>
      <x:c r="Y262" s="25"/>
      <x:c r="Z262" s="25"/>
    </x:row>
    <x:row r="263">
      <x:c r="A263" s="25"/>
      <x:c r="B263" s="25"/>
      <x:c r="C263" s="25"/>
      <x:c r="D263" s="25"/>
      <x:c r="E263" s="25"/>
      <x:c r="F263" s="25"/>
      <x:c r="G263" s="25"/>
      <x:c r="H263" s="25"/>
      <x:c r="I263" s="25"/>
      <x:c r="J263" s="25"/>
      <x:c r="K263" s="25"/>
      <x:c r="L263" s="25"/>
      <x:c r="M263" s="25"/>
      <x:c r="N263" s="25"/>
      <x:c r="O263" s="25"/>
      <x:c r="P263" s="25"/>
      <x:c r="Q263" s="25"/>
      <x:c r="R263" s="25"/>
      <x:c r="S263" s="25"/>
      <x:c r="T263" s="25"/>
      <x:c r="U263" s="25"/>
      <x:c r="V263" s="25"/>
      <x:c r="W263" s="25"/>
      <x:c r="X263" s="25"/>
      <x:c r="Y263" s="25"/>
      <x:c r="Z263" s="25"/>
    </x:row>
    <x:row r="264">
      <x:c r="A264" s="25"/>
      <x:c r="B264" s="25"/>
      <x:c r="C264" s="25"/>
      <x:c r="D264" s="25"/>
      <x:c r="E264" s="25"/>
      <x:c r="F264" s="25"/>
      <x:c r="G264" s="25"/>
      <x:c r="H264" s="25"/>
      <x:c r="I264" s="25"/>
      <x:c r="J264" s="25"/>
      <x:c r="K264" s="25"/>
      <x:c r="L264" s="25"/>
      <x:c r="M264" s="25"/>
      <x:c r="N264" s="25"/>
      <x:c r="O264" s="25"/>
      <x:c r="P264" s="25"/>
      <x:c r="Q264" s="25"/>
      <x:c r="R264" s="25"/>
      <x:c r="S264" s="25"/>
      <x:c r="T264" s="25"/>
      <x:c r="U264" s="25"/>
      <x:c r="V264" s="25"/>
      <x:c r="W264" s="25"/>
      <x:c r="X264" s="25"/>
      <x:c r="Y264" s="25"/>
      <x:c r="Z264" s="25"/>
    </x:row>
    <x:row r="265">
      <x:c r="A265" s="25"/>
      <x:c r="B265" s="25"/>
      <x:c r="C265" s="25"/>
      <x:c r="D265" s="25"/>
      <x:c r="E265" s="25"/>
      <x:c r="F265" s="25"/>
      <x:c r="G265" s="25"/>
      <x:c r="H265" s="25"/>
      <x:c r="I265" s="25"/>
      <x:c r="J265" s="25"/>
      <x:c r="K265" s="25"/>
      <x:c r="L265" s="25"/>
      <x:c r="M265" s="25"/>
      <x:c r="N265" s="25"/>
      <x:c r="O265" s="25"/>
      <x:c r="P265" s="25"/>
      <x:c r="Q265" s="25"/>
      <x:c r="R265" s="25"/>
      <x:c r="S265" s="25"/>
      <x:c r="T265" s="25"/>
      <x:c r="U265" s="25"/>
      <x:c r="V265" s="25"/>
      <x:c r="W265" s="25"/>
      <x:c r="X265" s="25"/>
      <x:c r="Y265" s="25"/>
      <x:c r="Z265" s="25"/>
    </x:row>
    <x:row r="266">
      <x:c r="A266" s="25"/>
      <x:c r="B266" s="25"/>
      <x:c r="C266" s="25"/>
      <x:c r="D266" s="25"/>
      <x:c r="E266" s="25"/>
      <x:c r="F266" s="25"/>
      <x:c r="G266" s="25"/>
      <x:c r="H266" s="25"/>
      <x:c r="I266" s="25"/>
      <x:c r="J266" s="25"/>
      <x:c r="K266" s="25"/>
      <x:c r="L266" s="25"/>
      <x:c r="M266" s="25"/>
      <x:c r="N266" s="25"/>
      <x:c r="O266" s="25"/>
      <x:c r="P266" s="25"/>
      <x:c r="Q266" s="25"/>
      <x:c r="R266" s="25"/>
      <x:c r="S266" s="25"/>
      <x:c r="T266" s="25"/>
      <x:c r="U266" s="25"/>
      <x:c r="V266" s="25"/>
      <x:c r="W266" s="25"/>
      <x:c r="X266" s="25"/>
      <x:c r="Y266" s="25"/>
      <x:c r="Z266" s="25"/>
    </x:row>
    <x:row r="267">
      <x:c r="A267" s="25"/>
      <x:c r="B267" s="25"/>
      <x:c r="C267" s="25"/>
      <x:c r="D267" s="25"/>
      <x:c r="E267" s="25"/>
      <x:c r="F267" s="25"/>
      <x:c r="G267" s="25"/>
      <x:c r="H267" s="25"/>
      <x:c r="I267" s="25"/>
      <x:c r="J267" s="25"/>
      <x:c r="K267" s="25"/>
      <x:c r="L267" s="25"/>
      <x:c r="M267" s="25"/>
      <x:c r="N267" s="25"/>
      <x:c r="O267" s="25"/>
      <x:c r="P267" s="25"/>
      <x:c r="Q267" s="25"/>
      <x:c r="R267" s="25"/>
      <x:c r="S267" s="25"/>
      <x:c r="T267" s="25"/>
      <x:c r="U267" s="25"/>
      <x:c r="V267" s="25"/>
      <x:c r="W267" s="25"/>
      <x:c r="X267" s="25"/>
      <x:c r="Y267" s="25"/>
      <x:c r="Z267" s="25"/>
    </x:row>
    <x:row r="268">
      <x:c r="A268" s="25"/>
      <x:c r="B268" s="25"/>
      <x:c r="C268" s="25"/>
      <x:c r="D268" s="25"/>
      <x:c r="E268" s="25"/>
      <x:c r="F268" s="25"/>
      <x:c r="G268" s="25"/>
      <x:c r="H268" s="25"/>
      <x:c r="I268" s="25"/>
      <x:c r="J268" s="25"/>
      <x:c r="K268" s="25"/>
      <x:c r="L268" s="25"/>
      <x:c r="M268" s="25"/>
      <x:c r="N268" s="25"/>
      <x:c r="O268" s="25"/>
      <x:c r="P268" s="25"/>
      <x:c r="Q268" s="25"/>
      <x:c r="R268" s="25"/>
      <x:c r="S268" s="25"/>
      <x:c r="T268" s="25"/>
      <x:c r="U268" s="25"/>
      <x:c r="V268" s="25"/>
      <x:c r="W268" s="25"/>
      <x:c r="X268" s="25"/>
      <x:c r="Y268" s="25"/>
      <x:c r="Z268" s="25"/>
    </x:row>
    <x:row r="269">
      <x:c r="A269" s="25"/>
      <x:c r="B269" s="25"/>
      <x:c r="C269" s="25"/>
      <x:c r="D269" s="25"/>
      <x:c r="E269" s="25"/>
      <x:c r="F269" s="25"/>
      <x:c r="G269" s="25"/>
      <x:c r="H269" s="25"/>
      <x:c r="I269" s="25"/>
      <x:c r="J269" s="25"/>
      <x:c r="K269" s="25"/>
      <x:c r="L269" s="25"/>
      <x:c r="M269" s="25"/>
      <x:c r="N269" s="25"/>
      <x:c r="O269" s="25"/>
      <x:c r="P269" s="25"/>
      <x:c r="Q269" s="25"/>
      <x:c r="R269" s="25"/>
      <x:c r="S269" s="25"/>
      <x:c r="T269" s="25"/>
      <x:c r="U269" s="25"/>
      <x:c r="V269" s="25"/>
      <x:c r="W269" s="25"/>
      <x:c r="X269" s="25"/>
      <x:c r="Y269" s="25"/>
      <x:c r="Z269" s="25"/>
    </x:row>
    <x:row r="270">
      <x:c r="A270" s="25"/>
      <x:c r="B270" s="25"/>
      <x:c r="C270" s="25"/>
      <x:c r="D270" s="25"/>
      <x:c r="E270" s="25"/>
      <x:c r="F270" s="25"/>
      <x:c r="G270" s="25"/>
      <x:c r="H270" s="25"/>
      <x:c r="I270" s="25"/>
      <x:c r="J270" s="25"/>
      <x:c r="K270" s="25"/>
      <x:c r="L270" s="25"/>
      <x:c r="M270" s="25"/>
      <x:c r="N270" s="25"/>
      <x:c r="O270" s="25"/>
      <x:c r="P270" s="25"/>
      <x:c r="Q270" s="25"/>
      <x:c r="R270" s="25"/>
      <x:c r="S270" s="25"/>
      <x:c r="T270" s="25"/>
      <x:c r="U270" s="25"/>
      <x:c r="V270" s="25"/>
      <x:c r="W270" s="25"/>
      <x:c r="X270" s="25"/>
      <x:c r="Y270" s="25"/>
      <x:c r="Z270" s="25"/>
    </x:row>
    <x:row r="271">
      <x:c r="A271" s="25"/>
      <x:c r="B271" s="25"/>
      <x:c r="C271" s="25"/>
      <x:c r="D271" s="25"/>
      <x:c r="E271" s="25"/>
      <x:c r="F271" s="25"/>
      <x:c r="G271" s="25"/>
      <x:c r="H271" s="25"/>
      <x:c r="I271" s="25"/>
      <x:c r="J271" s="25"/>
      <x:c r="K271" s="25"/>
      <x:c r="L271" s="25"/>
      <x:c r="M271" s="25"/>
      <x:c r="N271" s="25"/>
      <x:c r="O271" s="25"/>
      <x:c r="P271" s="25"/>
      <x:c r="Q271" s="25"/>
      <x:c r="R271" s="25"/>
      <x:c r="S271" s="25"/>
      <x:c r="T271" s="25"/>
      <x:c r="U271" s="25"/>
      <x:c r="V271" s="25"/>
      <x:c r="W271" s="25"/>
      <x:c r="X271" s="25"/>
      <x:c r="Y271" s="25"/>
      <x:c r="Z271" s="25"/>
    </x:row>
    <x:row r="272">
      <x:c r="A272" s="25"/>
      <x:c r="B272" s="25"/>
      <x:c r="C272" s="25"/>
      <x:c r="D272" s="25"/>
      <x:c r="E272" s="25"/>
      <x:c r="F272" s="25"/>
      <x:c r="G272" s="25"/>
      <x:c r="H272" s="25"/>
      <x:c r="I272" s="25"/>
      <x:c r="J272" s="25"/>
      <x:c r="K272" s="25"/>
      <x:c r="L272" s="25"/>
      <x:c r="M272" s="25"/>
      <x:c r="N272" s="25"/>
      <x:c r="O272" s="25"/>
      <x:c r="P272" s="25"/>
      <x:c r="Q272" s="25"/>
      <x:c r="R272" s="25"/>
      <x:c r="S272" s="25"/>
      <x:c r="T272" s="25"/>
      <x:c r="U272" s="25"/>
      <x:c r="V272" s="25"/>
      <x:c r="W272" s="25"/>
      <x:c r="X272" s="25"/>
      <x:c r="Y272" s="25"/>
      <x:c r="Z272" s="25"/>
    </x:row>
    <x:row r="273">
      <x:c r="A273" s="25"/>
      <x:c r="B273" s="25"/>
      <x:c r="C273" s="25"/>
      <x:c r="D273" s="25"/>
      <x:c r="E273" s="25"/>
      <x:c r="F273" s="25"/>
      <x:c r="G273" s="25"/>
      <x:c r="H273" s="25"/>
      <x:c r="I273" s="25"/>
      <x:c r="J273" s="25"/>
      <x:c r="K273" s="25"/>
      <x:c r="L273" s="25"/>
      <x:c r="M273" s="25"/>
      <x:c r="N273" s="25"/>
      <x:c r="O273" s="25"/>
      <x:c r="P273" s="25"/>
      <x:c r="Q273" s="25"/>
      <x:c r="R273" s="25"/>
      <x:c r="S273" s="25"/>
      <x:c r="T273" s="25"/>
      <x:c r="U273" s="25"/>
      <x:c r="V273" s="25"/>
      <x:c r="W273" s="25"/>
      <x:c r="X273" s="25"/>
      <x:c r="Y273" s="25"/>
      <x:c r="Z273" s="25"/>
    </x:row>
    <x:row r="274">
      <x:c r="A274" s="25"/>
      <x:c r="B274" s="25"/>
      <x:c r="C274" s="25"/>
      <x:c r="D274" s="25"/>
      <x:c r="E274" s="25"/>
      <x:c r="F274" s="25"/>
      <x:c r="G274" s="25"/>
      <x:c r="H274" s="25"/>
      <x:c r="I274" s="25"/>
      <x:c r="J274" s="25"/>
      <x:c r="K274" s="25"/>
      <x:c r="L274" s="25"/>
      <x:c r="M274" s="25"/>
      <x:c r="N274" s="25"/>
      <x:c r="O274" s="25"/>
      <x:c r="P274" s="25"/>
      <x:c r="Q274" s="25"/>
      <x:c r="R274" s="25"/>
      <x:c r="S274" s="25"/>
      <x:c r="T274" s="25"/>
      <x:c r="U274" s="25"/>
      <x:c r="V274" s="25"/>
      <x:c r="W274" s="25"/>
      <x:c r="X274" s="25"/>
      <x:c r="Y274" s="25"/>
      <x:c r="Z274" s="25"/>
    </x:row>
    <x:row r="275">
      <x:c r="A275" s="25"/>
      <x:c r="B275" s="25"/>
      <x:c r="C275" s="25"/>
      <x:c r="D275" s="25"/>
      <x:c r="E275" s="25"/>
      <x:c r="F275" s="25"/>
      <x:c r="G275" s="25"/>
      <x:c r="H275" s="25"/>
      <x:c r="I275" s="25"/>
      <x:c r="J275" s="25"/>
      <x:c r="K275" s="25"/>
      <x:c r="L275" s="25"/>
      <x:c r="M275" s="25"/>
      <x:c r="N275" s="25"/>
      <x:c r="O275" s="25"/>
      <x:c r="P275" s="25"/>
      <x:c r="Q275" s="25"/>
      <x:c r="R275" s="25"/>
      <x:c r="S275" s="25"/>
      <x:c r="T275" s="25"/>
      <x:c r="U275" s="25"/>
      <x:c r="V275" s="25"/>
      <x:c r="W275" s="25"/>
      <x:c r="X275" s="25"/>
      <x:c r="Y275" s="25"/>
      <x:c r="Z275" s="25"/>
    </x:row>
    <x:row r="276">
      <x:c r="A276" s="25"/>
      <x:c r="B276" s="25"/>
      <x:c r="C276" s="25"/>
      <x:c r="D276" s="25"/>
      <x:c r="E276" s="25"/>
      <x:c r="F276" s="25"/>
      <x:c r="G276" s="25"/>
      <x:c r="H276" s="25"/>
      <x:c r="I276" s="25"/>
      <x:c r="J276" s="25"/>
      <x:c r="K276" s="25"/>
      <x:c r="L276" s="25"/>
      <x:c r="M276" s="25"/>
      <x:c r="N276" s="25"/>
      <x:c r="O276" s="25"/>
      <x:c r="P276" s="25"/>
      <x:c r="Q276" s="25"/>
      <x:c r="R276" s="25"/>
      <x:c r="S276" s="25"/>
      <x:c r="T276" s="25"/>
      <x:c r="U276" s="25"/>
      <x:c r="V276" s="25"/>
      <x:c r="W276" s="25"/>
      <x:c r="X276" s="25"/>
      <x:c r="Y276" s="25"/>
      <x:c r="Z276" s="25"/>
    </x:row>
    <x:row r="277">
      <x:c r="A277" s="25"/>
      <x:c r="B277" s="25"/>
      <x:c r="C277" s="25"/>
      <x:c r="D277" s="25"/>
      <x:c r="E277" s="25"/>
      <x:c r="F277" s="25"/>
      <x:c r="G277" s="25"/>
      <x:c r="H277" s="25"/>
      <x:c r="I277" s="25"/>
      <x:c r="J277" s="25"/>
      <x:c r="K277" s="25"/>
      <x:c r="L277" s="25"/>
      <x:c r="M277" s="25"/>
      <x:c r="N277" s="25"/>
      <x:c r="O277" s="25"/>
      <x:c r="P277" s="25"/>
      <x:c r="Q277" s="25"/>
      <x:c r="R277" s="25"/>
      <x:c r="S277" s="25"/>
      <x:c r="T277" s="25"/>
      <x:c r="U277" s="25"/>
      <x:c r="V277" s="25"/>
      <x:c r="W277" s="25"/>
      <x:c r="X277" s="25"/>
      <x:c r="Y277" s="25"/>
      <x:c r="Z277" s="25"/>
    </x:row>
    <x:row r="278">
      <x:c r="A278" s="25"/>
      <x:c r="B278" s="25"/>
      <x:c r="C278" s="25"/>
      <x:c r="D278" s="25"/>
      <x:c r="E278" s="25"/>
      <x:c r="F278" s="25"/>
      <x:c r="G278" s="25"/>
      <x:c r="H278" s="25"/>
      <x:c r="I278" s="25"/>
      <x:c r="J278" s="25"/>
      <x:c r="K278" s="25"/>
      <x:c r="L278" s="25"/>
      <x:c r="M278" s="25"/>
      <x:c r="N278" s="25"/>
      <x:c r="O278" s="25"/>
      <x:c r="P278" s="25"/>
      <x:c r="Q278" s="25"/>
      <x:c r="R278" s="25"/>
      <x:c r="S278" s="25"/>
      <x:c r="T278" s="25"/>
      <x:c r="U278" s="25"/>
      <x:c r="V278" s="25"/>
      <x:c r="W278" s="25"/>
      <x:c r="X278" s="25"/>
      <x:c r="Y278" s="25"/>
      <x:c r="Z278" s="25"/>
    </x:row>
    <x:row r="279">
      <x:c r="A279" s="25"/>
      <x:c r="B279" s="25"/>
      <x:c r="C279" s="25"/>
      <x:c r="D279" s="25"/>
      <x:c r="E279" s="25"/>
      <x:c r="F279" s="25"/>
      <x:c r="G279" s="25"/>
      <x:c r="H279" s="25"/>
      <x:c r="I279" s="25"/>
      <x:c r="J279" s="25"/>
      <x:c r="K279" s="25"/>
      <x:c r="L279" s="25"/>
      <x:c r="M279" s="25"/>
      <x:c r="N279" s="25"/>
      <x:c r="O279" s="25"/>
      <x:c r="P279" s="25"/>
      <x:c r="Q279" s="25"/>
      <x:c r="R279" s="25"/>
      <x:c r="S279" s="25"/>
      <x:c r="T279" s="25"/>
      <x:c r="U279" s="25"/>
      <x:c r="V279" s="25"/>
      <x:c r="W279" s="25"/>
      <x:c r="X279" s="25"/>
      <x:c r="Y279" s="25"/>
      <x:c r="Z279" s="25"/>
    </x:row>
    <x:row r="280">
      <x:c r="A280" s="25"/>
      <x:c r="B280" s="25"/>
      <x:c r="C280" s="25"/>
      <x:c r="D280" s="25"/>
      <x:c r="E280" s="25"/>
      <x:c r="F280" s="25"/>
      <x:c r="G280" s="25"/>
      <x:c r="H280" s="25"/>
      <x:c r="I280" s="25"/>
      <x:c r="J280" s="25"/>
      <x:c r="K280" s="25"/>
      <x:c r="L280" s="25"/>
      <x:c r="M280" s="25"/>
      <x:c r="N280" s="25"/>
      <x:c r="O280" s="25"/>
      <x:c r="P280" s="25"/>
      <x:c r="Q280" s="25"/>
      <x:c r="R280" s="25"/>
      <x:c r="S280" s="25"/>
      <x:c r="T280" s="25"/>
      <x:c r="U280" s="25"/>
      <x:c r="V280" s="25"/>
      <x:c r="W280" s="25"/>
      <x:c r="X280" s="25"/>
      <x:c r="Y280" s="25"/>
      <x:c r="Z280" s="25"/>
    </x:row>
    <x:row r="281">
      <x:c r="A281" s="25"/>
      <x:c r="B281" s="25"/>
      <x:c r="C281" s="25"/>
      <x:c r="D281" s="25"/>
      <x:c r="E281" s="25"/>
      <x:c r="F281" s="25"/>
      <x:c r="G281" s="25"/>
      <x:c r="H281" s="25"/>
      <x:c r="I281" s="25"/>
      <x:c r="J281" s="25"/>
      <x:c r="K281" s="25"/>
      <x:c r="L281" s="25"/>
      <x:c r="M281" s="25"/>
      <x:c r="N281" s="25"/>
      <x:c r="O281" s="25"/>
      <x:c r="P281" s="25"/>
      <x:c r="Q281" s="25"/>
      <x:c r="R281" s="25"/>
      <x:c r="S281" s="25"/>
      <x:c r="T281" s="25"/>
      <x:c r="U281" s="25"/>
      <x:c r="V281" s="25"/>
      <x:c r="W281" s="25"/>
      <x:c r="X281" s="25"/>
      <x:c r="Y281" s="25"/>
      <x:c r="Z281" s="25"/>
    </x:row>
    <x:row r="282">
      <x:c r="A282" s="25"/>
      <x:c r="B282" s="25"/>
      <x:c r="C282" s="25"/>
      <x:c r="D282" s="25"/>
      <x:c r="E282" s="25"/>
      <x:c r="F282" s="25"/>
      <x:c r="G282" s="25"/>
      <x:c r="H282" s="25"/>
      <x:c r="I282" s="25"/>
      <x:c r="J282" s="25"/>
      <x:c r="K282" s="25"/>
      <x:c r="L282" s="25"/>
      <x:c r="M282" s="25"/>
      <x:c r="N282" s="25"/>
      <x:c r="O282" s="25"/>
      <x:c r="P282" s="25"/>
      <x:c r="Q282" s="25"/>
      <x:c r="R282" s="25"/>
      <x:c r="S282" s="25"/>
      <x:c r="T282" s="25"/>
      <x:c r="U282" s="25"/>
      <x:c r="V282" s="25"/>
      <x:c r="W282" s="25"/>
      <x:c r="X282" s="25"/>
      <x:c r="Y282" s="25"/>
      <x:c r="Z282" s="25"/>
    </x:row>
    <x:row r="283">
      <x:c r="A283" s="25"/>
      <x:c r="B283" s="25"/>
      <x:c r="C283" s="25"/>
      <x:c r="D283" s="25"/>
      <x:c r="E283" s="25"/>
      <x:c r="F283" s="25"/>
      <x:c r="G283" s="25"/>
      <x:c r="H283" s="25"/>
      <x:c r="I283" s="25"/>
      <x:c r="J283" s="25"/>
      <x:c r="K283" s="25"/>
      <x:c r="L283" s="25"/>
      <x:c r="M283" s="25"/>
      <x:c r="N283" s="25"/>
      <x:c r="O283" s="25"/>
      <x:c r="P283" s="25"/>
      <x:c r="Q283" s="25"/>
      <x:c r="R283" s="25"/>
      <x:c r="S283" s="25"/>
      <x:c r="T283" s="25"/>
      <x:c r="U283" s="25"/>
      <x:c r="V283" s="25"/>
      <x:c r="W283" s="25"/>
      <x:c r="X283" s="25"/>
      <x:c r="Y283" s="25"/>
      <x:c r="Z283" s="25"/>
    </x:row>
    <x:row r="284">
      <x:c r="A284" s="25"/>
      <x:c r="B284" s="25"/>
      <x:c r="C284" s="25"/>
      <x:c r="D284" s="25"/>
      <x:c r="E284" s="25"/>
      <x:c r="F284" s="25"/>
      <x:c r="G284" s="25"/>
      <x:c r="H284" s="25"/>
      <x:c r="I284" s="25"/>
      <x:c r="J284" s="25"/>
      <x:c r="K284" s="25"/>
      <x:c r="L284" s="25"/>
      <x:c r="M284" s="25"/>
      <x:c r="N284" s="25"/>
      <x:c r="O284" s="25"/>
      <x:c r="P284" s="25"/>
      <x:c r="Q284" s="25"/>
      <x:c r="R284" s="25"/>
      <x:c r="S284" s="25"/>
      <x:c r="T284" s="25"/>
      <x:c r="U284" s="25"/>
      <x:c r="V284" s="25"/>
      <x:c r="W284" s="25"/>
      <x:c r="X284" s="25"/>
      <x:c r="Y284" s="25"/>
      <x:c r="Z284" s="25"/>
    </x:row>
    <x:row r="285">
      <x:c r="A285" s="25"/>
      <x:c r="B285" s="25"/>
      <x:c r="C285" s="25"/>
      <x:c r="D285" s="25"/>
      <x:c r="E285" s="25"/>
      <x:c r="F285" s="25"/>
      <x:c r="G285" s="25"/>
      <x:c r="H285" s="25"/>
      <x:c r="I285" s="25"/>
      <x:c r="J285" s="25"/>
      <x:c r="K285" s="25"/>
      <x:c r="L285" s="25"/>
      <x:c r="M285" s="25"/>
      <x:c r="N285" s="25"/>
      <x:c r="O285" s="25"/>
      <x:c r="P285" s="25"/>
      <x:c r="Q285" s="25"/>
      <x:c r="R285" s="25"/>
      <x:c r="S285" s="25"/>
      <x:c r="T285" s="25"/>
      <x:c r="U285" s="25"/>
      <x:c r="V285" s="25"/>
      <x:c r="W285" s="25"/>
      <x:c r="X285" s="25"/>
      <x:c r="Y285" s="25"/>
      <x:c r="Z285" s="25"/>
    </x:row>
    <x:row r="286">
      <x:c r="A286" s="25"/>
      <x:c r="B286" s="25"/>
      <x:c r="C286" s="25"/>
      <x:c r="D286" s="25"/>
      <x:c r="E286" s="25"/>
      <x:c r="F286" s="25"/>
      <x:c r="G286" s="25"/>
      <x:c r="H286" s="25"/>
      <x:c r="I286" s="25"/>
      <x:c r="J286" s="25"/>
      <x:c r="K286" s="25"/>
      <x:c r="L286" s="25"/>
      <x:c r="M286" s="25"/>
      <x:c r="N286" s="25"/>
      <x:c r="O286" s="25"/>
      <x:c r="P286" s="25"/>
      <x:c r="Q286" s="25"/>
      <x:c r="R286" s="25"/>
      <x:c r="S286" s="25"/>
      <x:c r="T286" s="25"/>
      <x:c r="U286" s="25"/>
      <x:c r="V286" s="25"/>
      <x:c r="W286" s="25"/>
      <x:c r="X286" s="25"/>
      <x:c r="Y286" s="25"/>
      <x:c r="Z286" s="25"/>
    </x:row>
    <x:row r="287">
      <x:c r="A287" s="25"/>
      <x:c r="B287" s="25"/>
      <x:c r="C287" s="25"/>
      <x:c r="D287" s="25"/>
      <x:c r="E287" s="25"/>
      <x:c r="F287" s="25"/>
      <x:c r="G287" s="25"/>
      <x:c r="H287" s="25"/>
      <x:c r="I287" s="25"/>
      <x:c r="J287" s="25"/>
      <x:c r="K287" s="25"/>
      <x:c r="L287" s="25"/>
      <x:c r="M287" s="25"/>
      <x:c r="N287" s="25"/>
      <x:c r="O287" s="25"/>
      <x:c r="P287" s="25"/>
      <x:c r="Q287" s="25"/>
      <x:c r="R287" s="25"/>
      <x:c r="S287" s="25"/>
      <x:c r="T287" s="25"/>
      <x:c r="U287" s="25"/>
      <x:c r="V287" s="25"/>
      <x:c r="W287" s="25"/>
      <x:c r="X287" s="25"/>
      <x:c r="Y287" s="25"/>
      <x:c r="Z287" s="25"/>
    </x:row>
    <x:row r="288">
      <x:c r="A288" s="25"/>
      <x:c r="B288" s="25"/>
      <x:c r="C288" s="25"/>
      <x:c r="D288" s="25"/>
      <x:c r="E288" s="25"/>
      <x:c r="F288" s="25"/>
      <x:c r="G288" s="25"/>
      <x:c r="H288" s="25"/>
      <x:c r="I288" s="25"/>
      <x:c r="J288" s="25"/>
      <x:c r="K288" s="25"/>
      <x:c r="L288" s="25"/>
      <x:c r="M288" s="25"/>
      <x:c r="N288" s="25"/>
      <x:c r="O288" s="25"/>
      <x:c r="P288" s="25"/>
      <x:c r="Q288" s="25"/>
      <x:c r="R288" s="25"/>
      <x:c r="S288" s="25"/>
      <x:c r="T288" s="25"/>
      <x:c r="U288" s="25"/>
      <x:c r="V288" s="25"/>
      <x:c r="W288" s="25"/>
      <x:c r="X288" s="25"/>
      <x:c r="Y288" s="25"/>
      <x:c r="Z288" s="25"/>
    </x:row>
    <x:row r="289">
      <x:c r="A289" s="25"/>
      <x:c r="B289" s="25"/>
      <x:c r="C289" s="25"/>
      <x:c r="D289" s="25"/>
      <x:c r="E289" s="25"/>
      <x:c r="F289" s="25"/>
      <x:c r="G289" s="25"/>
      <x:c r="H289" s="25"/>
      <x:c r="I289" s="25"/>
      <x:c r="J289" s="25"/>
      <x:c r="K289" s="25"/>
      <x:c r="L289" s="25"/>
      <x:c r="M289" s="25"/>
      <x:c r="N289" s="25"/>
      <x:c r="O289" s="25"/>
      <x:c r="P289" s="25"/>
      <x:c r="Q289" s="25"/>
      <x:c r="R289" s="25"/>
      <x:c r="S289" s="25"/>
      <x:c r="T289" s="25"/>
      <x:c r="U289" s="25"/>
      <x:c r="V289" s="25"/>
      <x:c r="W289" s="25"/>
      <x:c r="X289" s="25"/>
      <x:c r="Y289" s="25"/>
      <x:c r="Z289" s="25"/>
    </x:row>
    <x:row r="290">
      <x:c r="A290" s="25"/>
      <x:c r="B290" s="25"/>
      <x:c r="C290" s="25"/>
      <x:c r="D290" s="25"/>
      <x:c r="E290" s="25"/>
      <x:c r="F290" s="25"/>
      <x:c r="G290" s="25"/>
      <x:c r="H290" s="25"/>
      <x:c r="I290" s="25"/>
      <x:c r="J290" s="25"/>
      <x:c r="K290" s="25"/>
      <x:c r="L290" s="25"/>
      <x:c r="M290" s="25"/>
      <x:c r="N290" s="25"/>
      <x:c r="O290" s="25"/>
      <x:c r="P290" s="25"/>
      <x:c r="Q290" s="25"/>
      <x:c r="R290" s="25"/>
      <x:c r="S290" s="25"/>
      <x:c r="T290" s="25"/>
      <x:c r="U290" s="25"/>
      <x:c r="V290" s="25"/>
      <x:c r="W290" s="25"/>
      <x:c r="X290" s="25"/>
      <x:c r="Y290" s="25"/>
      <x:c r="Z290" s="25"/>
    </x:row>
    <x:row r="291">
      <x:c r="A291" s="25"/>
      <x:c r="B291" s="25"/>
      <x:c r="C291" s="25"/>
      <x:c r="D291" s="25"/>
      <x:c r="E291" s="25"/>
      <x:c r="F291" s="25"/>
      <x:c r="G291" s="25"/>
      <x:c r="H291" s="25"/>
      <x:c r="I291" s="25"/>
      <x:c r="J291" s="25"/>
      <x:c r="K291" s="25"/>
      <x:c r="L291" s="25"/>
      <x:c r="M291" s="25"/>
      <x:c r="N291" s="25"/>
      <x:c r="O291" s="25"/>
      <x:c r="P291" s="25"/>
      <x:c r="Q291" s="25"/>
      <x:c r="R291" s="25"/>
      <x:c r="S291" s="25"/>
      <x:c r="T291" s="25"/>
      <x:c r="U291" s="25"/>
      <x:c r="V291" s="25"/>
      <x:c r="W291" s="25"/>
      <x:c r="X291" s="25"/>
      <x:c r="Y291" s="25"/>
      <x:c r="Z291" s="25"/>
    </x:row>
    <x:row r="292">
      <x:c r="A292" s="25"/>
      <x:c r="B292" s="25"/>
      <x:c r="C292" s="25"/>
      <x:c r="D292" s="25"/>
      <x:c r="E292" s="25"/>
      <x:c r="F292" s="25"/>
      <x:c r="G292" s="25"/>
      <x:c r="H292" s="25"/>
      <x:c r="I292" s="25"/>
      <x:c r="J292" s="25"/>
      <x:c r="K292" s="25"/>
      <x:c r="L292" s="25"/>
      <x:c r="M292" s="25"/>
      <x:c r="N292" s="25"/>
      <x:c r="O292" s="25"/>
      <x:c r="P292" s="25"/>
      <x:c r="Q292" s="25"/>
      <x:c r="R292" s="25"/>
      <x:c r="S292" s="25"/>
      <x:c r="T292" s="25"/>
      <x:c r="U292" s="25"/>
      <x:c r="V292" s="25"/>
      <x:c r="W292" s="25"/>
      <x:c r="X292" s="25"/>
      <x:c r="Y292" s="25"/>
      <x:c r="Z292" s="25"/>
    </x:row>
    <x:row r="293">
      <x:c r="A293" s="25"/>
      <x:c r="B293" s="25"/>
      <x:c r="C293" s="25"/>
      <x:c r="D293" s="25"/>
      <x:c r="E293" s="25"/>
      <x:c r="F293" s="25"/>
      <x:c r="G293" s="25"/>
      <x:c r="H293" s="25"/>
      <x:c r="I293" s="25"/>
      <x:c r="J293" s="25"/>
      <x:c r="K293" s="25"/>
      <x:c r="L293" s="25"/>
      <x:c r="M293" s="25"/>
      <x:c r="N293" s="25"/>
      <x:c r="O293" s="25"/>
      <x:c r="P293" s="25"/>
      <x:c r="Q293" s="25"/>
      <x:c r="R293" s="25"/>
      <x:c r="S293" s="25"/>
      <x:c r="T293" s="25"/>
      <x:c r="U293" s="25"/>
      <x:c r="V293" s="25"/>
      <x:c r="W293" s="25"/>
      <x:c r="X293" s="25"/>
      <x:c r="Y293" s="25"/>
      <x:c r="Z293" s="25"/>
    </x:row>
    <x:row r="294">
      <x:c r="A294" s="25"/>
      <x:c r="B294" s="25"/>
      <x:c r="C294" s="25"/>
      <x:c r="D294" s="25"/>
      <x:c r="E294" s="25"/>
      <x:c r="F294" s="25"/>
      <x:c r="G294" s="25"/>
      <x:c r="H294" s="25"/>
      <x:c r="I294" s="25"/>
      <x:c r="J294" s="25"/>
      <x:c r="K294" s="25"/>
      <x:c r="L294" s="25"/>
      <x:c r="M294" s="25"/>
      <x:c r="N294" s="25"/>
      <x:c r="O294" s="25"/>
      <x:c r="P294" s="25"/>
      <x:c r="Q294" s="25"/>
      <x:c r="R294" s="25"/>
      <x:c r="S294" s="25"/>
      <x:c r="T294" s="25"/>
      <x:c r="U294" s="25"/>
      <x:c r="V294" s="25"/>
      <x:c r="W294" s="25"/>
      <x:c r="X294" s="25"/>
      <x:c r="Y294" s="25"/>
      <x:c r="Z294" s="25"/>
    </x:row>
    <x:row r="295">
      <x:c r="A295" s="25"/>
      <x:c r="B295" s="25"/>
      <x:c r="C295" s="25"/>
      <x:c r="D295" s="25"/>
      <x:c r="E295" s="25"/>
      <x:c r="F295" s="25"/>
      <x:c r="G295" s="25"/>
      <x:c r="H295" s="25"/>
      <x:c r="I295" s="25"/>
      <x:c r="J295" s="25"/>
      <x:c r="K295" s="25"/>
      <x:c r="L295" s="25"/>
      <x:c r="M295" s="25"/>
      <x:c r="N295" s="25"/>
      <x:c r="O295" s="25"/>
      <x:c r="P295" s="25"/>
      <x:c r="Q295" s="25"/>
      <x:c r="R295" s="25"/>
      <x:c r="S295" s="25"/>
      <x:c r="T295" s="25"/>
      <x:c r="U295" s="25"/>
      <x:c r="V295" s="25"/>
      <x:c r="W295" s="25"/>
      <x:c r="X295" s="25"/>
      <x:c r="Y295" s="25"/>
      <x:c r="Z295" s="25"/>
    </x:row>
    <x:row r="296">
      <x:c r="A296" s="25"/>
      <x:c r="B296" s="25"/>
      <x:c r="C296" s="25"/>
      <x:c r="D296" s="25"/>
      <x:c r="E296" s="25"/>
      <x:c r="F296" s="25"/>
      <x:c r="G296" s="25"/>
      <x:c r="H296" s="25"/>
      <x:c r="I296" s="25"/>
      <x:c r="J296" s="25"/>
      <x:c r="K296" s="25"/>
      <x:c r="L296" s="25"/>
      <x:c r="M296" s="25"/>
      <x:c r="N296" s="25"/>
      <x:c r="O296" s="25"/>
      <x:c r="P296" s="25"/>
      <x:c r="Q296" s="25"/>
      <x:c r="R296" s="25"/>
      <x:c r="S296" s="25"/>
      <x:c r="T296" s="25"/>
      <x:c r="U296" s="25"/>
      <x:c r="V296" s="25"/>
      <x:c r="W296" s="25"/>
      <x:c r="X296" s="25"/>
      <x:c r="Y296" s="25"/>
      <x:c r="Z296" s="25"/>
    </x:row>
    <x:row r="297">
      <x:c r="A297" s="25"/>
      <x:c r="B297" s="25"/>
      <x:c r="C297" s="25"/>
      <x:c r="D297" s="25"/>
      <x:c r="E297" s="25"/>
      <x:c r="F297" s="25"/>
      <x:c r="G297" s="25"/>
      <x:c r="H297" s="25"/>
      <x:c r="I297" s="25"/>
      <x:c r="J297" s="25"/>
      <x:c r="K297" s="25"/>
      <x:c r="L297" s="25"/>
      <x:c r="M297" s="25"/>
      <x:c r="N297" s="25"/>
      <x:c r="O297" s="25"/>
      <x:c r="P297" s="25"/>
      <x:c r="Q297" s="25"/>
      <x:c r="R297" s="25"/>
      <x:c r="S297" s="25"/>
      <x:c r="T297" s="25"/>
      <x:c r="U297" s="25"/>
      <x:c r="V297" s="25"/>
      <x:c r="W297" s="25"/>
      <x:c r="X297" s="25"/>
      <x:c r="Y297" s="25"/>
      <x:c r="Z297" s="25"/>
    </x:row>
    <x:row r="298">
      <x:c r="A298" s="25"/>
      <x:c r="B298" s="25"/>
      <x:c r="C298" s="25"/>
      <x:c r="D298" s="25"/>
      <x:c r="E298" s="25"/>
      <x:c r="F298" s="25"/>
      <x:c r="G298" s="25"/>
      <x:c r="H298" s="25"/>
      <x:c r="I298" s="25"/>
      <x:c r="J298" s="25"/>
      <x:c r="K298" s="25"/>
      <x:c r="L298" s="25"/>
      <x:c r="M298" s="25"/>
      <x:c r="N298" s="25"/>
      <x:c r="O298" s="25"/>
      <x:c r="P298" s="25"/>
      <x:c r="Q298" s="25"/>
      <x:c r="R298" s="25"/>
      <x:c r="S298" s="25"/>
      <x:c r="T298" s="25"/>
      <x:c r="U298" s="25"/>
      <x:c r="V298" s="25"/>
      <x:c r="W298" s="25"/>
      <x:c r="X298" s="25"/>
      <x:c r="Y298" s="25"/>
      <x:c r="Z298" s="25"/>
    </x:row>
    <x:row r="299">
      <x:c r="A299" s="25"/>
      <x:c r="B299" s="25"/>
      <x:c r="C299" s="25"/>
      <x:c r="D299" s="25"/>
      <x:c r="E299" s="25"/>
      <x:c r="F299" s="25"/>
      <x:c r="G299" s="25"/>
      <x:c r="H299" s="25"/>
      <x:c r="I299" s="25"/>
      <x:c r="J299" s="25"/>
      <x:c r="K299" s="25"/>
      <x:c r="L299" s="25"/>
      <x:c r="M299" s="25"/>
      <x:c r="N299" s="25"/>
      <x:c r="O299" s="25"/>
      <x:c r="P299" s="25"/>
      <x:c r="Q299" s="25"/>
      <x:c r="R299" s="25"/>
      <x:c r="S299" s="25"/>
      <x:c r="T299" s="25"/>
      <x:c r="U299" s="25"/>
      <x:c r="V299" s="25"/>
      <x:c r="W299" s="25"/>
      <x:c r="X299" s="25"/>
      <x:c r="Y299" s="25"/>
      <x:c r="Z299" s="25"/>
    </x:row>
    <x:row r="300">
      <x:c r="A300" s="25"/>
      <x:c r="B300" s="25"/>
      <x:c r="C300" s="25"/>
      <x:c r="D300" s="25"/>
      <x:c r="E300" s="25"/>
      <x:c r="F300" s="25"/>
      <x:c r="G300" s="25"/>
      <x:c r="H300" s="25"/>
      <x:c r="I300" s="25"/>
      <x:c r="J300" s="25"/>
      <x:c r="K300" s="25"/>
      <x:c r="L300" s="25"/>
      <x:c r="M300" s="25"/>
      <x:c r="N300" s="25"/>
      <x:c r="O300" s="25"/>
      <x:c r="P300" s="25"/>
      <x:c r="Q300" s="25"/>
      <x:c r="R300" s="25"/>
      <x:c r="S300" s="25"/>
      <x:c r="T300" s="25"/>
      <x:c r="U300" s="25"/>
      <x:c r="V300" s="25"/>
      <x:c r="W300" s="25"/>
      <x:c r="X300" s="25"/>
      <x:c r="Y300" s="25"/>
      <x:c r="Z300" s="25"/>
    </x:row>
    <x:row r="301">
      <x:c r="A301" s="25"/>
      <x:c r="B301" s="25"/>
      <x:c r="C301" s="25"/>
      <x:c r="D301" s="25"/>
      <x:c r="E301" s="25"/>
      <x:c r="F301" s="25"/>
      <x:c r="G301" s="25"/>
      <x:c r="H301" s="25"/>
      <x:c r="I301" s="25"/>
      <x:c r="J301" s="25"/>
      <x:c r="K301" s="25"/>
      <x:c r="L301" s="25"/>
      <x:c r="M301" s="25"/>
      <x:c r="N301" s="25"/>
      <x:c r="O301" s="25"/>
      <x:c r="P301" s="25"/>
      <x:c r="Q301" s="25"/>
      <x:c r="R301" s="25"/>
      <x:c r="S301" s="25"/>
      <x:c r="T301" s="25"/>
      <x:c r="U301" s="25"/>
      <x:c r="V301" s="25"/>
      <x:c r="W301" s="25"/>
      <x:c r="X301" s="25"/>
      <x:c r="Y301" s="25"/>
      <x:c r="Z301" s="25"/>
    </x:row>
    <x:row r="302">
      <x:c r="A302" s="25"/>
      <x:c r="B302" s="25"/>
      <x:c r="C302" s="25"/>
      <x:c r="D302" s="25"/>
      <x:c r="E302" s="25"/>
      <x:c r="F302" s="25"/>
      <x:c r="G302" s="25"/>
      <x:c r="H302" s="25"/>
      <x:c r="I302" s="25"/>
      <x:c r="J302" s="25"/>
      <x:c r="K302" s="25"/>
      <x:c r="L302" s="25"/>
      <x:c r="M302" s="25"/>
      <x:c r="N302" s="25"/>
      <x:c r="O302" s="25"/>
      <x:c r="P302" s="25"/>
      <x:c r="Q302" s="25"/>
      <x:c r="R302" s="25"/>
      <x:c r="S302" s="25"/>
      <x:c r="T302" s="25"/>
      <x:c r="U302" s="25"/>
      <x:c r="V302" s="25"/>
      <x:c r="W302" s="25"/>
      <x:c r="X302" s="25"/>
      <x:c r="Y302" s="25"/>
      <x:c r="Z302" s="25"/>
    </x:row>
    <x:row r="303">
      <x:c r="A303" s="25"/>
      <x:c r="B303" s="25"/>
      <x:c r="C303" s="25"/>
      <x:c r="D303" s="25"/>
      <x:c r="E303" s="25"/>
      <x:c r="F303" s="25"/>
      <x:c r="G303" s="25"/>
      <x:c r="H303" s="25"/>
      <x:c r="I303" s="25"/>
      <x:c r="J303" s="25"/>
      <x:c r="K303" s="25"/>
      <x:c r="L303" s="25"/>
      <x:c r="M303" s="25"/>
      <x:c r="N303" s="25"/>
      <x:c r="O303" s="25"/>
      <x:c r="P303" s="25"/>
      <x:c r="Q303" s="25"/>
      <x:c r="R303" s="25"/>
      <x:c r="S303" s="25"/>
      <x:c r="T303" s="25"/>
      <x:c r="U303" s="25"/>
      <x:c r="V303" s="25"/>
      <x:c r="W303" s="25"/>
      <x:c r="X303" s="25"/>
      <x:c r="Y303" s="25"/>
      <x:c r="Z303" s="25"/>
    </x:row>
    <x:row r="304">
      <x:c r="A304" s="25"/>
      <x:c r="B304" s="25"/>
      <x:c r="C304" s="25"/>
      <x:c r="D304" s="25"/>
      <x:c r="E304" s="25"/>
      <x:c r="F304" s="25"/>
      <x:c r="G304" s="25"/>
      <x:c r="H304" s="25"/>
      <x:c r="I304" s="25"/>
      <x:c r="J304" s="25"/>
      <x:c r="K304" s="25"/>
      <x:c r="L304" s="25"/>
      <x:c r="M304" s="25"/>
      <x:c r="N304" s="25"/>
      <x:c r="O304" s="25"/>
      <x:c r="P304" s="25"/>
      <x:c r="Q304" s="25"/>
      <x:c r="R304" s="25"/>
      <x:c r="S304" s="25"/>
      <x:c r="T304" s="25"/>
      <x:c r="U304" s="25"/>
      <x:c r="V304" s="25"/>
      <x:c r="W304" s="25"/>
      <x:c r="X304" s="25"/>
      <x:c r="Y304" s="25"/>
      <x:c r="Z304" s="25"/>
    </x:row>
    <x:row r="305">
      <x:c r="A305" s="25"/>
      <x:c r="B305" s="25"/>
      <x:c r="C305" s="25"/>
      <x:c r="D305" s="25"/>
      <x:c r="E305" s="25"/>
      <x:c r="F305" s="25"/>
      <x:c r="G305" s="25"/>
      <x:c r="H305" s="25"/>
      <x:c r="I305" s="25"/>
      <x:c r="J305" s="25"/>
      <x:c r="K305" s="25"/>
      <x:c r="L305" s="25"/>
      <x:c r="M305" s="25"/>
      <x:c r="N305" s="25"/>
      <x:c r="O305" s="25"/>
      <x:c r="P305" s="25"/>
      <x:c r="Q305" s="25"/>
      <x:c r="R305" s="25"/>
      <x:c r="S305" s="25"/>
      <x:c r="T305" s="25"/>
      <x:c r="U305" s="25"/>
      <x:c r="V305" s="25"/>
      <x:c r="W305" s="25"/>
      <x:c r="X305" s="25"/>
      <x:c r="Y305" s="25"/>
      <x:c r="Z305" s="25"/>
    </x:row>
    <x:row r="306">
      <x:c r="A306" s="25"/>
      <x:c r="B306" s="25"/>
      <x:c r="C306" s="25"/>
      <x:c r="D306" s="25"/>
      <x:c r="E306" s="25"/>
      <x:c r="F306" s="25"/>
      <x:c r="G306" s="25"/>
      <x:c r="H306" s="25"/>
      <x:c r="I306" s="25"/>
      <x:c r="J306" s="25"/>
      <x:c r="K306" s="25"/>
      <x:c r="L306" s="25"/>
      <x:c r="M306" s="25"/>
      <x:c r="N306" s="25"/>
      <x:c r="O306" s="25"/>
      <x:c r="P306" s="25"/>
      <x:c r="Q306" s="25"/>
      <x:c r="R306" s="25"/>
      <x:c r="S306" s="25"/>
      <x:c r="T306" s="25"/>
      <x:c r="U306" s="25"/>
      <x:c r="V306" s="25"/>
      <x:c r="W306" s="25"/>
      <x:c r="X306" s="25"/>
      <x:c r="Y306" s="25"/>
      <x:c r="Z306" s="25"/>
    </x:row>
    <x:row r="307">
      <x:c r="A307" s="25"/>
      <x:c r="B307" s="25"/>
      <x:c r="C307" s="25"/>
      <x:c r="D307" s="25"/>
      <x:c r="E307" s="25"/>
      <x:c r="F307" s="25"/>
      <x:c r="G307" s="25"/>
      <x:c r="H307" s="25"/>
      <x:c r="I307" s="25"/>
      <x:c r="J307" s="25"/>
      <x:c r="K307" s="25"/>
      <x:c r="L307" s="25"/>
      <x:c r="M307" s="25"/>
      <x:c r="N307" s="25"/>
      <x:c r="O307" s="25"/>
      <x:c r="P307" s="25"/>
      <x:c r="Q307" s="25"/>
      <x:c r="R307" s="25"/>
      <x:c r="S307" s="25"/>
      <x:c r="T307" s="25"/>
      <x:c r="U307" s="25"/>
      <x:c r="V307" s="25"/>
      <x:c r="W307" s="25"/>
      <x:c r="X307" s="25"/>
      <x:c r="Y307" s="25"/>
      <x:c r="Z307" s="25"/>
    </x:row>
    <x:row r="308">
      <x:c r="A308" s="25"/>
      <x:c r="B308" s="25"/>
      <x:c r="C308" s="25"/>
      <x:c r="D308" s="25"/>
      <x:c r="E308" s="25"/>
      <x:c r="F308" s="25"/>
      <x:c r="G308" s="25"/>
      <x:c r="H308" s="25"/>
      <x:c r="I308" s="25"/>
      <x:c r="J308" s="25"/>
      <x:c r="K308" s="25"/>
      <x:c r="L308" s="25"/>
      <x:c r="M308" s="25"/>
      <x:c r="N308" s="25"/>
      <x:c r="O308" s="25"/>
      <x:c r="P308" s="25"/>
      <x:c r="Q308" s="25"/>
      <x:c r="R308" s="25"/>
      <x:c r="S308" s="25"/>
      <x:c r="T308" s="25"/>
      <x:c r="U308" s="25"/>
      <x:c r="V308" s="25"/>
      <x:c r="W308" s="25"/>
      <x:c r="X308" s="25"/>
      <x:c r="Y308" s="25"/>
      <x:c r="Z308" s="25"/>
    </x:row>
    <x:row r="309">
      <x:c r="A309" s="25"/>
      <x:c r="B309" s="25"/>
      <x:c r="C309" s="25"/>
      <x:c r="D309" s="25"/>
      <x:c r="E309" s="25"/>
      <x:c r="F309" s="25"/>
      <x:c r="G309" s="25"/>
      <x:c r="H309" s="25"/>
      <x:c r="I309" s="25"/>
      <x:c r="J309" s="25"/>
      <x:c r="K309" s="25"/>
      <x:c r="L309" s="25"/>
      <x:c r="M309" s="25"/>
      <x:c r="N309" s="25"/>
      <x:c r="O309" s="25"/>
      <x:c r="P309" s="25"/>
      <x:c r="Q309" s="25"/>
      <x:c r="R309" s="25"/>
      <x:c r="S309" s="25"/>
      <x:c r="T309" s="25"/>
      <x:c r="U309" s="25"/>
      <x:c r="V309" s="25"/>
      <x:c r="W309" s="25"/>
      <x:c r="X309" s="25"/>
      <x:c r="Y309" s="25"/>
      <x:c r="Z309" s="25"/>
    </x:row>
    <x:row r="310">
      <x:c r="A310" s="25"/>
      <x:c r="B310" s="25"/>
      <x:c r="C310" s="25"/>
      <x:c r="D310" s="25"/>
      <x:c r="E310" s="25"/>
      <x:c r="F310" s="25"/>
      <x:c r="G310" s="25"/>
      <x:c r="H310" s="25"/>
      <x:c r="I310" s="25"/>
      <x:c r="J310" s="25"/>
      <x:c r="K310" s="25"/>
      <x:c r="L310" s="25"/>
      <x:c r="M310" s="25"/>
      <x:c r="N310" s="25"/>
      <x:c r="O310" s="25"/>
      <x:c r="P310" s="25"/>
      <x:c r="Q310" s="25"/>
      <x:c r="R310" s="25"/>
      <x:c r="S310" s="25"/>
      <x:c r="T310" s="25"/>
      <x:c r="U310" s="25"/>
      <x:c r="V310" s="25"/>
      <x:c r="W310" s="25"/>
      <x:c r="X310" s="25"/>
      <x:c r="Y310" s="25"/>
      <x:c r="Z310" s="25"/>
    </x:row>
    <x:row r="311">
      <x:c r="A311" s="25"/>
      <x:c r="B311" s="25"/>
      <x:c r="C311" s="25"/>
      <x:c r="D311" s="25"/>
      <x:c r="E311" s="25"/>
      <x:c r="F311" s="25"/>
      <x:c r="G311" s="25"/>
      <x:c r="H311" s="25"/>
      <x:c r="I311" s="25"/>
      <x:c r="J311" s="25"/>
      <x:c r="K311" s="25"/>
      <x:c r="L311" s="25"/>
      <x:c r="M311" s="25"/>
      <x:c r="N311" s="25"/>
      <x:c r="O311" s="25"/>
      <x:c r="P311" s="25"/>
      <x:c r="Q311" s="25"/>
      <x:c r="R311" s="25"/>
      <x:c r="S311" s="25"/>
      <x:c r="T311" s="25"/>
      <x:c r="U311" s="25"/>
      <x:c r="V311" s="25"/>
      <x:c r="W311" s="25"/>
      <x:c r="X311" s="25"/>
      <x:c r="Y311" s="25"/>
      <x:c r="Z311" s="25"/>
    </x:row>
    <x:row r="312">
      <x:c r="A312" s="25"/>
      <x:c r="B312" s="25"/>
      <x:c r="C312" s="25"/>
      <x:c r="D312" s="25"/>
      <x:c r="E312" s="25"/>
      <x:c r="F312" s="25"/>
      <x:c r="G312" s="25"/>
      <x:c r="H312" s="25"/>
      <x:c r="I312" s="25"/>
      <x:c r="J312" s="25"/>
      <x:c r="K312" s="25"/>
      <x:c r="L312" s="25"/>
      <x:c r="M312" s="25"/>
      <x:c r="N312" s="25"/>
      <x:c r="O312" s="25"/>
      <x:c r="P312" s="25"/>
      <x:c r="Q312" s="25"/>
      <x:c r="R312" s="25"/>
      <x:c r="S312" s="25"/>
      <x:c r="T312" s="25"/>
      <x:c r="U312" s="25"/>
      <x:c r="V312" s="25"/>
      <x:c r="W312" s="25"/>
      <x:c r="X312" s="25"/>
      <x:c r="Y312" s="25"/>
      <x:c r="Z312" s="25"/>
    </x:row>
    <x:row r="313">
      <x:c r="A313" s="25"/>
      <x:c r="B313" s="25"/>
      <x:c r="C313" s="25"/>
      <x:c r="D313" s="25"/>
      <x:c r="E313" s="25"/>
      <x:c r="F313" s="25"/>
      <x:c r="G313" s="25"/>
      <x:c r="H313" s="25"/>
      <x:c r="I313" s="25"/>
      <x:c r="J313" s="25"/>
      <x:c r="K313" s="25"/>
      <x:c r="L313" s="25"/>
      <x:c r="M313" s="25"/>
      <x:c r="N313" s="25"/>
      <x:c r="O313" s="25"/>
      <x:c r="P313" s="25"/>
      <x:c r="Q313" s="25"/>
      <x:c r="R313" s="25"/>
      <x:c r="S313" s="25"/>
      <x:c r="T313" s="25"/>
      <x:c r="U313" s="25"/>
      <x:c r="V313" s="25"/>
      <x:c r="W313" s="25"/>
      <x:c r="X313" s="25"/>
      <x:c r="Y313" s="25"/>
      <x:c r="Z313" s="25"/>
    </x:row>
    <x:row r="314">
      <x:c r="A314" s="25"/>
      <x:c r="B314" s="25"/>
      <x:c r="C314" s="25"/>
      <x:c r="D314" s="25"/>
      <x:c r="E314" s="25"/>
      <x:c r="F314" s="25"/>
      <x:c r="G314" s="25"/>
      <x:c r="H314" s="25"/>
      <x:c r="I314" s="25"/>
      <x:c r="J314" s="25"/>
      <x:c r="K314" s="25"/>
      <x:c r="L314" s="25"/>
      <x:c r="M314" s="25"/>
      <x:c r="N314" s="25"/>
      <x:c r="O314" s="25"/>
      <x:c r="P314" s="25"/>
      <x:c r="Q314" s="25"/>
      <x:c r="R314" s="25"/>
      <x:c r="S314" s="25"/>
      <x:c r="T314" s="25"/>
      <x:c r="U314" s="25"/>
      <x:c r="V314" s="25"/>
      <x:c r="W314" s="25"/>
      <x:c r="X314" s="25"/>
      <x:c r="Y314" s="25"/>
      <x:c r="Z314" s="25"/>
    </x:row>
    <x:row r="315">
      <x:c r="A315" s="25"/>
      <x:c r="B315" s="25"/>
      <x:c r="C315" s="25"/>
      <x:c r="D315" s="25"/>
      <x:c r="E315" s="25"/>
      <x:c r="F315" s="25"/>
      <x:c r="G315" s="25"/>
      <x:c r="H315" s="25"/>
      <x:c r="I315" s="25"/>
      <x:c r="J315" s="25"/>
      <x:c r="K315" s="25"/>
      <x:c r="L315" s="25"/>
      <x:c r="M315" s="25"/>
      <x:c r="N315" s="25"/>
      <x:c r="O315" s="25"/>
      <x:c r="P315" s="25"/>
      <x:c r="Q315" s="25"/>
      <x:c r="R315" s="25"/>
      <x:c r="S315" s="25"/>
      <x:c r="T315" s="25"/>
      <x:c r="U315" s="25"/>
      <x:c r="V315" s="25"/>
      <x:c r="W315" s="25"/>
      <x:c r="X315" s="25"/>
      <x:c r="Y315" s="25"/>
      <x:c r="Z315" s="25"/>
    </x:row>
    <x:row r="316">
      <x:c r="A316" s="25"/>
      <x:c r="B316" s="25"/>
      <x:c r="C316" s="25"/>
      <x:c r="D316" s="25"/>
      <x:c r="E316" s="25"/>
      <x:c r="F316" s="25"/>
      <x:c r="G316" s="25"/>
      <x:c r="H316" s="25"/>
      <x:c r="I316" s="25"/>
      <x:c r="J316" s="25"/>
      <x:c r="K316" s="25"/>
      <x:c r="L316" s="25"/>
      <x:c r="M316" s="25"/>
      <x:c r="N316" s="25"/>
      <x:c r="O316" s="25"/>
      <x:c r="P316" s="25"/>
      <x:c r="Q316" s="25"/>
      <x:c r="R316" s="25"/>
      <x:c r="S316" s="25"/>
      <x:c r="T316" s="25"/>
      <x:c r="U316" s="25"/>
      <x:c r="V316" s="25"/>
      <x:c r="W316" s="25"/>
      <x:c r="X316" s="25"/>
      <x:c r="Y316" s="25"/>
      <x:c r="Z316" s="25"/>
    </x:row>
    <x:row r="317">
      <x:c r="A317" s="25"/>
      <x:c r="B317" s="25"/>
      <x:c r="C317" s="25"/>
      <x:c r="D317" s="25"/>
      <x:c r="E317" s="25"/>
      <x:c r="F317" s="25"/>
      <x:c r="G317" s="25"/>
      <x:c r="H317" s="25"/>
      <x:c r="I317" s="25"/>
      <x:c r="J317" s="25"/>
      <x:c r="K317" s="25"/>
      <x:c r="L317" s="25"/>
      <x:c r="M317" s="25"/>
      <x:c r="N317" s="25"/>
      <x:c r="O317" s="25"/>
      <x:c r="P317" s="25"/>
      <x:c r="Q317" s="25"/>
      <x:c r="R317" s="25"/>
      <x:c r="S317" s="25"/>
      <x:c r="T317" s="25"/>
      <x:c r="U317" s="25"/>
      <x:c r="V317" s="25"/>
      <x:c r="W317" s="25"/>
      <x:c r="X317" s="25"/>
      <x:c r="Y317" s="25"/>
      <x:c r="Z317" s="25"/>
    </x:row>
    <x:row r="318">
      <x:c r="A318" s="25"/>
      <x:c r="B318" s="25"/>
      <x:c r="C318" s="25"/>
      <x:c r="D318" s="25"/>
      <x:c r="E318" s="25"/>
      <x:c r="F318" s="25"/>
      <x:c r="G318" s="25"/>
      <x:c r="H318" s="25"/>
      <x:c r="I318" s="25"/>
      <x:c r="J318" s="25"/>
      <x:c r="K318" s="25"/>
      <x:c r="L318" s="25"/>
      <x:c r="M318" s="25"/>
      <x:c r="N318" s="25"/>
      <x:c r="O318" s="25"/>
      <x:c r="P318" s="25"/>
      <x:c r="Q318" s="25"/>
      <x:c r="R318" s="25"/>
      <x:c r="S318" s="25"/>
      <x:c r="T318" s="25"/>
      <x:c r="U318" s="25"/>
      <x:c r="V318" s="25"/>
      <x:c r="W318" s="25"/>
      <x:c r="X318" s="25"/>
      <x:c r="Y318" s="25"/>
      <x:c r="Z318" s="25"/>
    </x:row>
    <x:row r="319">
      <x:c r="A319" s="25"/>
      <x:c r="B319" s="25"/>
      <x:c r="C319" s="25"/>
      <x:c r="D319" s="25"/>
      <x:c r="E319" s="25"/>
      <x:c r="F319" s="25"/>
      <x:c r="G319" s="25"/>
      <x:c r="H319" s="25"/>
      <x:c r="I319" s="25"/>
      <x:c r="J319" s="25"/>
      <x:c r="K319" s="25"/>
      <x:c r="L319" s="25"/>
      <x:c r="M319" s="25"/>
      <x:c r="N319" s="25"/>
      <x:c r="O319" s="25"/>
      <x:c r="P319" s="25"/>
      <x:c r="Q319" s="25"/>
      <x:c r="R319" s="25"/>
      <x:c r="S319" s="25"/>
      <x:c r="T319" s="25"/>
      <x:c r="U319" s="25"/>
      <x:c r="V319" s="25"/>
      <x:c r="W319" s="25"/>
      <x:c r="X319" s="25"/>
      <x:c r="Y319" s="25"/>
      <x:c r="Z319" s="25"/>
    </x:row>
    <x:row r="320">
      <x:c r="A320" s="25"/>
      <x:c r="B320" s="25"/>
      <x:c r="C320" s="25"/>
      <x:c r="D320" s="25"/>
      <x:c r="E320" s="25"/>
      <x:c r="F320" s="25"/>
      <x:c r="G320" s="25"/>
      <x:c r="H320" s="25"/>
      <x:c r="I320" s="25"/>
      <x:c r="J320" s="25"/>
      <x:c r="K320" s="25"/>
      <x:c r="L320" s="25"/>
      <x:c r="M320" s="25"/>
      <x:c r="N320" s="25"/>
      <x:c r="O320" s="25"/>
      <x:c r="P320" s="25"/>
      <x:c r="Q320" s="25"/>
      <x:c r="R320" s="25"/>
      <x:c r="S320" s="25"/>
      <x:c r="T320" s="25"/>
      <x:c r="U320" s="25"/>
      <x:c r="V320" s="25"/>
      <x:c r="W320" s="25"/>
      <x:c r="X320" s="25"/>
      <x:c r="Y320" s="25"/>
      <x:c r="Z320" s="25"/>
    </x:row>
    <x:row r="321">
      <x:c r="A321" s="25"/>
      <x:c r="B321" s="25"/>
      <x:c r="C321" s="25"/>
      <x:c r="D321" s="25"/>
      <x:c r="E321" s="25"/>
      <x:c r="F321" s="25"/>
      <x:c r="G321" s="25"/>
      <x:c r="H321" s="25"/>
      <x:c r="I321" s="25"/>
      <x:c r="J321" s="25"/>
      <x:c r="K321" s="25"/>
      <x:c r="L321" s="25"/>
      <x:c r="M321" s="25"/>
      <x:c r="N321" s="25"/>
      <x:c r="O321" s="25"/>
      <x:c r="P321" s="25"/>
      <x:c r="Q321" s="25"/>
      <x:c r="R321" s="25"/>
      <x:c r="S321" s="25"/>
      <x:c r="T321" s="25"/>
      <x:c r="U321" s="25"/>
      <x:c r="V321" s="25"/>
      <x:c r="W321" s="25"/>
      <x:c r="X321" s="25"/>
      <x:c r="Y321" s="25"/>
      <x:c r="Z321" s="25"/>
    </x:row>
    <x:row r="322">
      <x:c r="A322" s="25"/>
      <x:c r="B322" s="25"/>
      <x:c r="C322" s="25"/>
      <x:c r="D322" s="25"/>
      <x:c r="E322" s="25"/>
      <x:c r="F322" s="25"/>
      <x:c r="G322" s="25"/>
      <x:c r="H322" s="25"/>
      <x:c r="I322" s="25"/>
      <x:c r="J322" s="25"/>
      <x:c r="K322" s="25"/>
      <x:c r="L322" s="25"/>
      <x:c r="M322" s="25"/>
      <x:c r="N322" s="25"/>
      <x:c r="O322" s="25"/>
      <x:c r="P322" s="25"/>
      <x:c r="Q322" s="25"/>
      <x:c r="R322" s="25"/>
      <x:c r="S322" s="25"/>
      <x:c r="T322" s="25"/>
      <x:c r="U322" s="25"/>
      <x:c r="V322" s="25"/>
      <x:c r="W322" s="25"/>
      <x:c r="X322" s="25"/>
      <x:c r="Y322" s="25"/>
      <x:c r="Z322" s="25"/>
    </x:row>
    <x:row r="323">
      <x:c r="A323" s="25"/>
      <x:c r="B323" s="25"/>
      <x:c r="C323" s="25"/>
      <x:c r="D323" s="25"/>
      <x:c r="E323" s="25"/>
      <x:c r="F323" s="25"/>
      <x:c r="G323" s="25"/>
      <x:c r="H323" s="25"/>
      <x:c r="I323" s="25"/>
      <x:c r="J323" s="25"/>
      <x:c r="K323" s="25"/>
      <x:c r="L323" s="25"/>
      <x:c r="M323" s="25"/>
      <x:c r="N323" s="25"/>
      <x:c r="O323" s="25"/>
      <x:c r="P323" s="25"/>
      <x:c r="Q323" s="25"/>
      <x:c r="R323" s="25"/>
      <x:c r="S323" s="25"/>
      <x:c r="T323" s="25"/>
      <x:c r="U323" s="25"/>
      <x:c r="V323" s="25"/>
      <x:c r="W323" s="25"/>
      <x:c r="X323" s="25"/>
      <x:c r="Y323" s="25"/>
      <x:c r="Z323" s="25"/>
    </x:row>
    <x:row r="324">
      <x:c r="A324" s="25"/>
      <x:c r="B324" s="25"/>
      <x:c r="C324" s="25"/>
      <x:c r="D324" s="25"/>
      <x:c r="E324" s="25"/>
      <x:c r="F324" s="25"/>
      <x:c r="G324" s="25"/>
      <x:c r="H324" s="25"/>
      <x:c r="I324" s="25"/>
      <x:c r="J324" s="25"/>
      <x:c r="K324" s="25"/>
      <x:c r="L324" s="25"/>
      <x:c r="M324" s="25"/>
      <x:c r="N324" s="25"/>
      <x:c r="O324" s="25"/>
      <x:c r="P324" s="25"/>
      <x:c r="Q324" s="25"/>
      <x:c r="R324" s="25"/>
      <x:c r="S324" s="25"/>
      <x:c r="T324" s="25"/>
      <x:c r="U324" s="25"/>
      <x:c r="V324" s="25"/>
      <x:c r="W324" s="25"/>
      <x:c r="X324" s="25"/>
      <x:c r="Y324" s="25"/>
      <x:c r="Z324" s="25"/>
    </x:row>
    <x:row r="325">
      <x:c r="A325" s="25"/>
      <x:c r="B325" s="25"/>
      <x:c r="C325" s="25"/>
      <x:c r="D325" s="25"/>
      <x:c r="E325" s="25"/>
      <x:c r="F325" s="25"/>
      <x:c r="G325" s="25"/>
      <x:c r="H325" s="25"/>
      <x:c r="I325" s="25"/>
      <x:c r="J325" s="25"/>
      <x:c r="K325" s="25"/>
      <x:c r="L325" s="25"/>
      <x:c r="M325" s="25"/>
      <x:c r="N325" s="25"/>
      <x:c r="O325" s="25"/>
      <x:c r="P325" s="25"/>
      <x:c r="Q325" s="25"/>
      <x:c r="R325" s="25"/>
      <x:c r="S325" s="25"/>
      <x:c r="T325" s="25"/>
      <x:c r="U325" s="25"/>
      <x:c r="V325" s="25"/>
      <x:c r="W325" s="25"/>
      <x:c r="X325" s="25"/>
      <x:c r="Y325" s="25"/>
      <x:c r="Z325" s="25"/>
    </x:row>
    <x:row r="326">
      <x:c r="A326" s="25"/>
      <x:c r="B326" s="25"/>
      <x:c r="C326" s="25"/>
      <x:c r="D326" s="25"/>
      <x:c r="E326" s="25"/>
      <x:c r="F326" s="25"/>
      <x:c r="G326" s="25"/>
      <x:c r="H326" s="25"/>
      <x:c r="I326" s="25"/>
      <x:c r="J326" s="25"/>
      <x:c r="K326" s="25"/>
      <x:c r="L326" s="25"/>
      <x:c r="M326" s="25"/>
      <x:c r="N326" s="25"/>
      <x:c r="O326" s="25"/>
      <x:c r="P326" s="25"/>
      <x:c r="Q326" s="25"/>
      <x:c r="R326" s="25"/>
      <x:c r="S326" s="25"/>
      <x:c r="T326" s="25"/>
      <x:c r="U326" s="25"/>
      <x:c r="V326" s="25"/>
      <x:c r="W326" s="25"/>
      <x:c r="X326" s="25"/>
      <x:c r="Y326" s="25"/>
      <x:c r="Z326" s="25"/>
    </x:row>
    <x:row r="327">
      <x:c r="A327" s="25"/>
      <x:c r="B327" s="25"/>
      <x:c r="C327" s="25"/>
      <x:c r="D327" s="25"/>
      <x:c r="E327" s="25"/>
      <x:c r="F327" s="25"/>
      <x:c r="G327" s="25"/>
      <x:c r="H327" s="25"/>
      <x:c r="I327" s="25"/>
      <x:c r="J327" s="25"/>
      <x:c r="K327" s="25"/>
      <x:c r="L327" s="25"/>
      <x:c r="M327" s="25"/>
      <x:c r="N327" s="25"/>
      <x:c r="O327" s="25"/>
      <x:c r="P327" s="25"/>
      <x:c r="Q327" s="25"/>
      <x:c r="R327" s="25"/>
      <x:c r="S327" s="25"/>
      <x:c r="T327" s="25"/>
      <x:c r="U327" s="25"/>
      <x:c r="V327" s="25"/>
      <x:c r="W327" s="25"/>
      <x:c r="X327" s="25"/>
      <x:c r="Y327" s="25"/>
      <x:c r="Z327" s="25"/>
    </x:row>
    <x:row r="328">
      <x:c r="A328" s="25"/>
      <x:c r="B328" s="25"/>
      <x:c r="C328" s="25"/>
      <x:c r="D328" s="25"/>
      <x:c r="E328" s="25"/>
      <x:c r="F328" s="25"/>
      <x:c r="G328" s="25"/>
      <x:c r="H328" s="25"/>
      <x:c r="I328" s="25"/>
      <x:c r="J328" s="25"/>
      <x:c r="K328" s="25"/>
      <x:c r="L328" s="25"/>
      <x:c r="M328" s="25"/>
      <x:c r="N328" s="25"/>
      <x:c r="O328" s="25"/>
      <x:c r="P328" s="25"/>
      <x:c r="Q328" s="25"/>
      <x:c r="R328" s="25"/>
      <x:c r="S328" s="25"/>
      <x:c r="T328" s="25"/>
      <x:c r="U328" s="25"/>
      <x:c r="V328" s="25"/>
      <x:c r="W328" s="25"/>
      <x:c r="X328" s="25"/>
      <x:c r="Y328" s="25"/>
      <x:c r="Z328" s="25"/>
    </x:row>
    <x:row r="329">
      <x:c r="A329" s="25"/>
      <x:c r="B329" s="25"/>
      <x:c r="C329" s="25"/>
      <x:c r="D329" s="25"/>
      <x:c r="E329" s="25"/>
      <x:c r="F329" s="25"/>
      <x:c r="G329" s="25"/>
      <x:c r="H329" s="25"/>
      <x:c r="I329" s="25"/>
      <x:c r="J329" s="25"/>
      <x:c r="K329" s="25"/>
      <x:c r="L329" s="25"/>
      <x:c r="M329" s="25"/>
      <x:c r="N329" s="25"/>
      <x:c r="O329" s="25"/>
      <x:c r="P329" s="25"/>
      <x:c r="Q329" s="25"/>
      <x:c r="R329" s="25"/>
      <x:c r="S329" s="25"/>
      <x:c r="T329" s="25"/>
      <x:c r="U329" s="25"/>
      <x:c r="V329" s="25"/>
      <x:c r="W329" s="25"/>
      <x:c r="X329" s="25"/>
      <x:c r="Y329" s="25"/>
      <x:c r="Z329" s="25"/>
    </x:row>
    <x:row r="330">
      <x:c r="A330" s="25"/>
      <x:c r="B330" s="25"/>
      <x:c r="C330" s="25"/>
      <x:c r="D330" s="25"/>
      <x:c r="E330" s="25"/>
      <x:c r="F330" s="25"/>
      <x:c r="G330" s="25"/>
      <x:c r="H330" s="25"/>
      <x:c r="I330" s="25"/>
      <x:c r="J330" s="25"/>
      <x:c r="K330" s="25"/>
      <x:c r="L330" s="25"/>
      <x:c r="M330" s="25"/>
      <x:c r="N330" s="25"/>
      <x:c r="O330" s="25"/>
      <x:c r="P330" s="25"/>
      <x:c r="Q330" s="25"/>
      <x:c r="R330" s="25"/>
      <x:c r="S330" s="25"/>
      <x:c r="T330" s="25"/>
      <x:c r="U330" s="25"/>
      <x:c r="V330" s="25"/>
      <x:c r="W330" s="25"/>
      <x:c r="X330" s="25"/>
      <x:c r="Y330" s="25"/>
      <x:c r="Z330" s="25"/>
    </x:row>
    <x:row r="331">
      <x:c r="A331" s="25"/>
      <x:c r="B331" s="25"/>
      <x:c r="C331" s="25"/>
      <x:c r="D331" s="25"/>
      <x:c r="E331" s="25"/>
      <x:c r="F331" s="25"/>
      <x:c r="G331" s="25"/>
      <x:c r="H331" s="25"/>
      <x:c r="I331" s="25"/>
      <x:c r="J331" s="25"/>
      <x:c r="K331" s="25"/>
      <x:c r="L331" s="25"/>
      <x:c r="M331" s="25"/>
      <x:c r="N331" s="25"/>
      <x:c r="O331" s="25"/>
      <x:c r="P331" s="25"/>
      <x:c r="Q331" s="25"/>
      <x:c r="R331" s="25"/>
      <x:c r="S331" s="25"/>
      <x:c r="T331" s="25"/>
      <x:c r="U331" s="25"/>
      <x:c r="V331" s="25"/>
      <x:c r="W331" s="25"/>
      <x:c r="X331" s="25"/>
      <x:c r="Y331" s="25"/>
      <x:c r="Z331" s="25"/>
    </x:row>
    <x:row r="332">
      <x:c r="A332" s="25"/>
      <x:c r="B332" s="25"/>
      <x:c r="C332" s="25"/>
      <x:c r="D332" s="25"/>
      <x:c r="E332" s="25"/>
      <x:c r="F332" s="25"/>
      <x:c r="G332" s="25"/>
      <x:c r="H332" s="25"/>
      <x:c r="I332" s="25"/>
      <x:c r="J332" s="25"/>
      <x:c r="K332" s="25"/>
      <x:c r="L332" s="25"/>
      <x:c r="M332" s="25"/>
      <x:c r="N332" s="25"/>
      <x:c r="O332" s="25"/>
      <x:c r="P332" s="25"/>
      <x:c r="Q332" s="25"/>
      <x:c r="R332" s="25"/>
      <x:c r="S332" s="25"/>
      <x:c r="T332" s="25"/>
      <x:c r="U332" s="25"/>
      <x:c r="V332" s="25"/>
      <x:c r="W332" s="25"/>
      <x:c r="X332" s="25"/>
      <x:c r="Y332" s="25"/>
      <x:c r="Z332" s="25"/>
    </x:row>
    <x:row r="333">
      <x:c r="A333" s="25"/>
      <x:c r="B333" s="25"/>
      <x:c r="C333" s="25"/>
      <x:c r="D333" s="25"/>
      <x:c r="E333" s="25"/>
      <x:c r="F333" s="25"/>
      <x:c r="G333" s="25"/>
      <x:c r="H333" s="25"/>
      <x:c r="I333" s="25"/>
      <x:c r="J333" s="25"/>
      <x:c r="K333" s="25"/>
      <x:c r="L333" s="25"/>
      <x:c r="M333" s="25"/>
      <x:c r="N333" s="25"/>
      <x:c r="O333" s="25"/>
      <x:c r="P333" s="25"/>
      <x:c r="Q333" s="25"/>
      <x:c r="R333" s="25"/>
      <x:c r="S333" s="25"/>
      <x:c r="T333" s="25"/>
      <x:c r="U333" s="25"/>
      <x:c r="V333" s="25"/>
      <x:c r="W333" s="25"/>
      <x:c r="X333" s="25"/>
      <x:c r="Y333" s="25"/>
      <x:c r="Z333" s="25"/>
    </x:row>
    <x:row r="334">
      <x:c r="A334" s="25"/>
      <x:c r="B334" s="25"/>
      <x:c r="C334" s="25"/>
      <x:c r="D334" s="25"/>
      <x:c r="E334" s="25"/>
      <x:c r="F334" s="25"/>
      <x:c r="G334" s="25"/>
      <x:c r="H334" s="25"/>
      <x:c r="I334" s="25"/>
      <x:c r="J334" s="25"/>
      <x:c r="K334" s="25"/>
      <x:c r="L334" s="25"/>
      <x:c r="M334" s="25"/>
      <x:c r="N334" s="25"/>
      <x:c r="O334" s="25"/>
      <x:c r="P334" s="25"/>
      <x:c r="Q334" s="25"/>
      <x:c r="R334" s="25"/>
      <x:c r="S334" s="25"/>
      <x:c r="T334" s="25"/>
      <x:c r="U334" s="25"/>
      <x:c r="V334" s="25"/>
      <x:c r="W334" s="25"/>
      <x:c r="X334" s="25"/>
      <x:c r="Y334" s="25"/>
      <x:c r="Z334" s="25"/>
    </x:row>
    <x:row r="335">
      <x:c r="A335" s="25"/>
      <x:c r="B335" s="25"/>
      <x:c r="C335" s="25"/>
      <x:c r="D335" s="25"/>
      <x:c r="E335" s="25"/>
      <x:c r="F335" s="25"/>
      <x:c r="G335" s="25"/>
      <x:c r="H335" s="25"/>
      <x:c r="I335" s="25"/>
      <x:c r="J335" s="25"/>
      <x:c r="K335" s="25"/>
      <x:c r="L335" s="25"/>
      <x:c r="M335" s="25"/>
      <x:c r="N335" s="25"/>
      <x:c r="O335" s="25"/>
      <x:c r="P335" s="25"/>
      <x:c r="Q335" s="25"/>
      <x:c r="R335" s="25"/>
      <x:c r="S335" s="25"/>
      <x:c r="T335" s="25"/>
      <x:c r="U335" s="25"/>
      <x:c r="V335" s="25"/>
      <x:c r="W335" s="25"/>
      <x:c r="X335" s="25"/>
      <x:c r="Y335" s="25"/>
      <x:c r="Z335" s="25"/>
    </x:row>
    <x:row r="336">
      <x:c r="A336" s="25"/>
      <x:c r="B336" s="25"/>
      <x:c r="C336" s="25"/>
      <x:c r="D336" s="25"/>
      <x:c r="E336" s="25"/>
      <x:c r="F336" s="25"/>
      <x:c r="G336" s="25"/>
      <x:c r="H336" s="25"/>
      <x:c r="I336" s="25"/>
      <x:c r="J336" s="25"/>
      <x:c r="K336" s="25"/>
      <x:c r="L336" s="25"/>
      <x:c r="M336" s="25"/>
      <x:c r="N336" s="25"/>
      <x:c r="O336" s="25"/>
      <x:c r="P336" s="25"/>
      <x:c r="Q336" s="25"/>
      <x:c r="R336" s="25"/>
      <x:c r="S336" s="25"/>
      <x:c r="T336" s="25"/>
      <x:c r="U336" s="25"/>
      <x:c r="V336" s="25"/>
      <x:c r="W336" s="25"/>
      <x:c r="X336" s="25"/>
      <x:c r="Y336" s="25"/>
      <x:c r="Z336" s="25"/>
    </x:row>
    <x:row r="337">
      <x:c r="A337" s="25"/>
      <x:c r="B337" s="25"/>
      <x:c r="C337" s="25"/>
      <x:c r="D337" s="25"/>
      <x:c r="E337" s="25"/>
      <x:c r="F337" s="25"/>
      <x:c r="G337" s="25"/>
      <x:c r="H337" s="25"/>
      <x:c r="I337" s="25"/>
      <x:c r="J337" s="25"/>
      <x:c r="K337" s="25"/>
      <x:c r="L337" s="25"/>
      <x:c r="M337" s="25"/>
      <x:c r="N337" s="25"/>
      <x:c r="O337" s="25"/>
      <x:c r="P337" s="25"/>
      <x:c r="Q337" s="25"/>
      <x:c r="R337" s="25"/>
      <x:c r="S337" s="25"/>
      <x:c r="T337" s="25"/>
      <x:c r="U337" s="25"/>
      <x:c r="V337" s="25"/>
      <x:c r="W337" s="25"/>
      <x:c r="X337" s="25"/>
      <x:c r="Y337" s="25"/>
      <x:c r="Z337" s="25"/>
    </x:row>
    <x:row r="338">
      <x:c r="A338" s="25"/>
      <x:c r="B338" s="25"/>
      <x:c r="C338" s="25"/>
      <x:c r="D338" s="25"/>
      <x:c r="E338" s="25"/>
      <x:c r="F338" s="25"/>
      <x:c r="G338" s="25"/>
      <x:c r="H338" s="25"/>
      <x:c r="I338" s="25"/>
      <x:c r="J338" s="25"/>
      <x:c r="K338" s="25"/>
      <x:c r="L338" s="25"/>
      <x:c r="M338" s="25"/>
      <x:c r="N338" s="25"/>
      <x:c r="O338" s="25"/>
      <x:c r="P338" s="25"/>
      <x:c r="Q338" s="25"/>
      <x:c r="R338" s="25"/>
      <x:c r="S338" s="25"/>
      <x:c r="T338" s="25"/>
      <x:c r="U338" s="25"/>
      <x:c r="V338" s="25"/>
      <x:c r="W338" s="25"/>
      <x:c r="X338" s="25"/>
      <x:c r="Y338" s="25"/>
      <x:c r="Z338" s="25"/>
    </x:row>
    <x:row r="339">
      <x:c r="A339" s="25"/>
      <x:c r="B339" s="25"/>
      <x:c r="C339" s="25"/>
      <x:c r="D339" s="25"/>
      <x:c r="E339" s="25"/>
      <x:c r="F339" s="25"/>
      <x:c r="G339" s="25"/>
      <x:c r="H339" s="25"/>
      <x:c r="I339" s="25"/>
      <x:c r="J339" s="25"/>
      <x:c r="K339" s="25"/>
      <x:c r="L339" s="25"/>
      <x:c r="M339" s="25"/>
      <x:c r="N339" s="25"/>
      <x:c r="O339" s="25"/>
      <x:c r="P339" s="25"/>
      <x:c r="Q339" s="25"/>
      <x:c r="R339" s="25"/>
      <x:c r="S339" s="25"/>
      <x:c r="T339" s="25"/>
      <x:c r="U339" s="25"/>
      <x:c r="V339" s="25"/>
      <x:c r="W339" s="25"/>
      <x:c r="X339" s="25"/>
      <x:c r="Y339" s="25"/>
      <x:c r="Z339" s="25"/>
    </x:row>
    <x:row r="340">
      <x:c r="A340" s="25"/>
      <x:c r="B340" s="25"/>
      <x:c r="C340" s="25"/>
      <x:c r="D340" s="25"/>
      <x:c r="E340" s="25"/>
      <x:c r="F340" s="25"/>
      <x:c r="G340" s="25"/>
      <x:c r="H340" s="25"/>
      <x:c r="I340" s="25"/>
      <x:c r="J340" s="25"/>
      <x:c r="K340" s="25"/>
      <x:c r="L340" s="25"/>
      <x:c r="M340" s="25"/>
      <x:c r="N340" s="25"/>
      <x:c r="O340" s="25"/>
      <x:c r="P340" s="25"/>
      <x:c r="Q340" s="25"/>
      <x:c r="R340" s="25"/>
      <x:c r="S340" s="25"/>
      <x:c r="T340" s="25"/>
      <x:c r="U340" s="25"/>
      <x:c r="V340" s="25"/>
      <x:c r="W340" s="25"/>
      <x:c r="X340" s="25"/>
      <x:c r="Y340" s="25"/>
      <x:c r="Z340" s="25"/>
    </x:row>
    <x:row r="341">
      <x:c r="A341" s="25"/>
      <x:c r="B341" s="25"/>
      <x:c r="C341" s="25"/>
      <x:c r="D341" s="25"/>
      <x:c r="E341" s="25"/>
      <x:c r="F341" s="25"/>
      <x:c r="G341" s="25"/>
      <x:c r="H341" s="25"/>
      <x:c r="I341" s="25"/>
      <x:c r="J341" s="25"/>
      <x:c r="K341" s="25"/>
      <x:c r="L341" s="25"/>
      <x:c r="M341" s="25"/>
      <x:c r="N341" s="25"/>
      <x:c r="O341" s="25"/>
      <x:c r="P341" s="25"/>
      <x:c r="Q341" s="25"/>
      <x:c r="R341" s="25"/>
      <x:c r="S341" s="25"/>
      <x:c r="T341" s="25"/>
      <x:c r="U341" s="25"/>
      <x:c r="V341" s="25"/>
      <x:c r="W341" s="25"/>
      <x:c r="X341" s="25"/>
      <x:c r="Y341" s="25"/>
      <x:c r="Z341" s="25"/>
    </x:row>
    <x:row r="342">
      <x:c r="A342" s="25"/>
      <x:c r="B342" s="25"/>
      <x:c r="C342" s="25"/>
      <x:c r="D342" s="25"/>
      <x:c r="E342" s="25"/>
      <x:c r="F342" s="25"/>
      <x:c r="G342" s="25"/>
      <x:c r="H342" s="25"/>
      <x:c r="I342" s="25"/>
      <x:c r="J342" s="25"/>
      <x:c r="K342" s="25"/>
      <x:c r="L342" s="25"/>
      <x:c r="M342" s="25"/>
      <x:c r="N342" s="25"/>
      <x:c r="O342" s="25"/>
      <x:c r="P342" s="25"/>
      <x:c r="Q342" s="25"/>
      <x:c r="R342" s="25"/>
      <x:c r="S342" s="25"/>
      <x:c r="T342" s="25"/>
      <x:c r="U342" s="25"/>
      <x:c r="V342" s="25"/>
      <x:c r="W342" s="25"/>
      <x:c r="X342" s="25"/>
      <x:c r="Y342" s="25"/>
      <x:c r="Z342" s="25"/>
    </x:row>
    <x:row r="343">
      <x:c r="A343" s="25"/>
      <x:c r="B343" s="25"/>
      <x:c r="C343" s="25"/>
      <x:c r="D343" s="25"/>
      <x:c r="E343" s="25"/>
      <x:c r="F343" s="25"/>
      <x:c r="G343" s="25"/>
      <x:c r="H343" s="25"/>
      <x:c r="I343" s="25"/>
      <x:c r="J343" s="25"/>
      <x:c r="K343" s="25"/>
      <x:c r="L343" s="25"/>
      <x:c r="M343" s="25"/>
      <x:c r="N343" s="25"/>
      <x:c r="O343" s="25"/>
      <x:c r="P343" s="25"/>
      <x:c r="Q343" s="25"/>
      <x:c r="R343" s="25"/>
      <x:c r="S343" s="25"/>
      <x:c r="T343" s="25"/>
      <x:c r="U343" s="25"/>
      <x:c r="V343" s="25"/>
      <x:c r="W343" s="25"/>
      <x:c r="X343" s="25"/>
      <x:c r="Y343" s="25"/>
      <x:c r="Z343" s="25"/>
    </x:row>
    <x:row r="344">
      <x:c r="A344" s="25"/>
      <x:c r="B344" s="25"/>
      <x:c r="C344" s="25"/>
      <x:c r="D344" s="25"/>
      <x:c r="E344" s="25"/>
      <x:c r="F344" s="25"/>
      <x:c r="G344" s="25"/>
      <x:c r="H344" s="25"/>
      <x:c r="I344" s="25"/>
      <x:c r="J344" s="25"/>
      <x:c r="K344" s="25"/>
      <x:c r="L344" s="25"/>
      <x:c r="M344" s="25"/>
      <x:c r="N344" s="25"/>
      <x:c r="O344" s="25"/>
      <x:c r="P344" s="25"/>
      <x:c r="Q344" s="25"/>
      <x:c r="R344" s="25"/>
      <x:c r="S344" s="25"/>
      <x:c r="T344" s="25"/>
      <x:c r="U344" s="25"/>
      <x:c r="V344" s="25"/>
      <x:c r="W344" s="25"/>
      <x:c r="X344" s="25"/>
      <x:c r="Y344" s="25"/>
      <x:c r="Z344" s="25"/>
    </x:row>
    <x:row r="345">
      <x:c r="A345" s="25"/>
      <x:c r="B345" s="25"/>
      <x:c r="C345" s="25"/>
      <x:c r="D345" s="25"/>
      <x:c r="E345" s="25"/>
      <x:c r="F345" s="25"/>
      <x:c r="G345" s="25"/>
      <x:c r="H345" s="25"/>
      <x:c r="I345" s="25"/>
      <x:c r="J345" s="25"/>
      <x:c r="K345" s="25"/>
      <x:c r="L345" s="25"/>
      <x:c r="M345" s="25"/>
      <x:c r="N345" s="25"/>
      <x:c r="O345" s="25"/>
      <x:c r="P345" s="25"/>
      <x:c r="Q345" s="25"/>
      <x:c r="R345" s="25"/>
      <x:c r="S345" s="25"/>
      <x:c r="T345" s="25"/>
      <x:c r="U345" s="25"/>
      <x:c r="V345" s="25"/>
      <x:c r="W345" s="25"/>
      <x:c r="X345" s="25"/>
      <x:c r="Y345" s="25"/>
      <x:c r="Z345" s="25"/>
    </x:row>
    <x:row r="346">
      <x:c r="A346" s="25"/>
      <x:c r="B346" s="25"/>
      <x:c r="C346" s="25"/>
      <x:c r="D346" s="25"/>
      <x:c r="E346" s="25"/>
      <x:c r="F346" s="25"/>
      <x:c r="G346" s="25"/>
      <x:c r="H346" s="25"/>
      <x:c r="I346" s="25"/>
      <x:c r="J346" s="25"/>
      <x:c r="K346" s="25"/>
      <x:c r="L346" s="25"/>
      <x:c r="M346" s="25"/>
      <x:c r="N346" s="25"/>
      <x:c r="O346" s="25"/>
      <x:c r="P346" s="25"/>
      <x:c r="Q346" s="25"/>
      <x:c r="R346" s="25"/>
      <x:c r="S346" s="25"/>
      <x:c r="T346" s="25"/>
      <x:c r="U346" s="25"/>
      <x:c r="V346" s="25"/>
      <x:c r="W346" s="25"/>
      <x:c r="X346" s="25"/>
      <x:c r="Y346" s="25"/>
      <x:c r="Z346" s="25"/>
    </x:row>
    <x:row r="347">
      <x:c r="A347" s="25"/>
      <x:c r="B347" s="25"/>
      <x:c r="C347" s="25"/>
      <x:c r="D347" s="25"/>
      <x:c r="E347" s="25"/>
      <x:c r="F347" s="25"/>
      <x:c r="G347" s="25"/>
      <x:c r="H347" s="25"/>
      <x:c r="I347" s="25"/>
      <x:c r="J347" s="25"/>
      <x:c r="K347" s="25"/>
      <x:c r="L347" s="25"/>
      <x:c r="M347" s="25"/>
      <x:c r="N347" s="25"/>
      <x:c r="O347" s="25"/>
      <x:c r="P347" s="25"/>
      <x:c r="Q347" s="25"/>
      <x:c r="R347" s="25"/>
      <x:c r="S347" s="25"/>
      <x:c r="T347" s="25"/>
      <x:c r="U347" s="25"/>
      <x:c r="V347" s="25"/>
      <x:c r="W347" s="25"/>
      <x:c r="X347" s="25"/>
      <x:c r="Y347" s="25"/>
      <x:c r="Z347" s="25"/>
    </x:row>
    <x:row r="348">
      <x:c r="A348" s="25"/>
      <x:c r="B348" s="25"/>
      <x:c r="C348" s="25"/>
      <x:c r="D348" s="25"/>
      <x:c r="E348" s="25"/>
      <x:c r="F348" s="25"/>
      <x:c r="G348" s="25"/>
      <x:c r="H348" s="25"/>
      <x:c r="I348" s="25"/>
      <x:c r="J348" s="25"/>
      <x:c r="K348" s="25"/>
      <x:c r="L348" s="25"/>
      <x:c r="M348" s="25"/>
      <x:c r="N348" s="25"/>
      <x:c r="O348" s="25"/>
      <x:c r="P348" s="25"/>
      <x:c r="Q348" s="25"/>
      <x:c r="R348" s="25"/>
      <x:c r="S348" s="25"/>
      <x:c r="T348" s="25"/>
      <x:c r="U348" s="25"/>
      <x:c r="V348" s="25"/>
      <x:c r="W348" s="25"/>
      <x:c r="X348" s="25"/>
      <x:c r="Y348" s="25"/>
      <x:c r="Z348" s="25"/>
    </x:row>
    <x:row r="349">
      <x:c r="A349" s="25"/>
      <x:c r="B349" s="25"/>
      <x:c r="C349" s="25"/>
      <x:c r="D349" s="25"/>
      <x:c r="E349" s="25"/>
      <x:c r="F349" s="25"/>
      <x:c r="G349" s="25"/>
      <x:c r="H349" s="25"/>
      <x:c r="I349" s="25"/>
      <x:c r="J349" s="25"/>
      <x:c r="K349" s="25"/>
      <x:c r="L349" s="25"/>
      <x:c r="M349" s="25"/>
      <x:c r="N349" s="25"/>
      <x:c r="O349" s="25"/>
      <x:c r="P349" s="25"/>
      <x:c r="Q349" s="25"/>
      <x:c r="R349" s="25"/>
      <x:c r="S349" s="25"/>
      <x:c r="T349" s="25"/>
      <x:c r="U349" s="25"/>
      <x:c r="V349" s="25"/>
      <x:c r="W349" s="25"/>
      <x:c r="X349" s="25"/>
      <x:c r="Y349" s="25"/>
      <x:c r="Z349" s="25"/>
    </x:row>
    <x:row r="350">
      <x:c r="A350" s="25"/>
      <x:c r="B350" s="25"/>
      <x:c r="C350" s="25"/>
      <x:c r="D350" s="25"/>
      <x:c r="E350" s="25"/>
      <x:c r="F350" s="25"/>
      <x:c r="G350" s="25"/>
      <x:c r="H350" s="25"/>
      <x:c r="I350" s="25"/>
      <x:c r="J350" s="25"/>
      <x:c r="K350" s="25"/>
      <x:c r="L350" s="25"/>
      <x:c r="M350" s="25"/>
      <x:c r="N350" s="25"/>
      <x:c r="O350" s="25"/>
      <x:c r="P350" s="25"/>
      <x:c r="Q350" s="25"/>
      <x:c r="R350" s="25"/>
      <x:c r="S350" s="25"/>
      <x:c r="T350" s="25"/>
      <x:c r="U350" s="25"/>
      <x:c r="V350" s="25"/>
      <x:c r="W350" s="25"/>
      <x:c r="X350" s="25"/>
      <x:c r="Y350" s="25"/>
      <x:c r="Z350" s="25"/>
    </x:row>
    <x:row r="351">
      <x:c r="A351" s="25"/>
      <x:c r="B351" s="25"/>
      <x:c r="C351" s="25"/>
      <x:c r="D351" s="25"/>
      <x:c r="E351" s="25"/>
      <x:c r="F351" s="25"/>
      <x:c r="G351" s="25"/>
      <x:c r="H351" s="25"/>
      <x:c r="I351" s="25"/>
      <x:c r="J351" s="25"/>
      <x:c r="K351" s="25"/>
      <x:c r="L351" s="25"/>
      <x:c r="M351" s="25"/>
      <x:c r="N351" s="25"/>
      <x:c r="O351" s="25"/>
      <x:c r="P351" s="25"/>
      <x:c r="Q351" s="25"/>
      <x:c r="R351" s="25"/>
      <x:c r="S351" s="25"/>
      <x:c r="T351" s="25"/>
      <x:c r="U351" s="25"/>
      <x:c r="V351" s="25"/>
      <x:c r="W351" s="25"/>
      <x:c r="X351" s="25"/>
      <x:c r="Y351" s="25"/>
      <x:c r="Z351" s="25"/>
    </x:row>
    <x:row r="352">
      <x:c r="A352" s="25"/>
      <x:c r="B352" s="25"/>
      <x:c r="C352" s="25"/>
      <x:c r="D352" s="25"/>
      <x:c r="E352" s="25"/>
      <x:c r="F352" s="25"/>
      <x:c r="G352" s="25"/>
      <x:c r="H352" s="25"/>
      <x:c r="I352" s="25"/>
      <x:c r="J352" s="25"/>
      <x:c r="K352" s="25"/>
      <x:c r="L352" s="25"/>
      <x:c r="M352" s="25"/>
      <x:c r="N352" s="25"/>
      <x:c r="O352" s="25"/>
      <x:c r="P352" s="25"/>
      <x:c r="Q352" s="25"/>
      <x:c r="R352" s="25"/>
      <x:c r="S352" s="25"/>
      <x:c r="T352" s="25"/>
      <x:c r="U352" s="25"/>
      <x:c r="V352" s="25"/>
      <x:c r="W352" s="25"/>
      <x:c r="X352" s="25"/>
      <x:c r="Y352" s="25"/>
      <x:c r="Z352" s="25"/>
    </x:row>
    <x:row r="353">
      <x:c r="A353" s="25"/>
      <x:c r="B353" s="25"/>
      <x:c r="C353" s="25"/>
      <x:c r="D353" s="25"/>
      <x:c r="E353" s="25"/>
      <x:c r="F353" s="25"/>
      <x:c r="G353" s="25"/>
      <x:c r="H353" s="25"/>
      <x:c r="I353" s="25"/>
      <x:c r="J353" s="25"/>
      <x:c r="K353" s="25"/>
      <x:c r="L353" s="25"/>
      <x:c r="M353" s="25"/>
      <x:c r="N353" s="25"/>
      <x:c r="O353" s="25"/>
      <x:c r="P353" s="25"/>
      <x:c r="Q353" s="25"/>
      <x:c r="R353" s="25"/>
      <x:c r="S353" s="25"/>
      <x:c r="T353" s="25"/>
      <x:c r="U353" s="25"/>
      <x:c r="V353" s="25"/>
      <x:c r="W353" s="25"/>
      <x:c r="X353" s="25"/>
      <x:c r="Y353" s="25"/>
      <x:c r="Z353" s="25"/>
    </x:row>
    <x:row r="354">
      <x:c r="A354" s="25"/>
      <x:c r="B354" s="25"/>
      <x:c r="C354" s="25"/>
      <x:c r="D354" s="25"/>
      <x:c r="E354" s="25"/>
      <x:c r="F354" s="25"/>
      <x:c r="G354" s="25"/>
      <x:c r="H354" s="25"/>
      <x:c r="I354" s="25"/>
      <x:c r="J354" s="25"/>
      <x:c r="K354" s="25"/>
      <x:c r="L354" s="25"/>
      <x:c r="M354" s="25"/>
      <x:c r="N354" s="25"/>
      <x:c r="O354" s="25"/>
      <x:c r="P354" s="25"/>
      <x:c r="Q354" s="25"/>
      <x:c r="R354" s="25"/>
      <x:c r="S354" s="25"/>
      <x:c r="T354" s="25"/>
      <x:c r="U354" s="25"/>
      <x:c r="V354" s="25"/>
      <x:c r="W354" s="25"/>
      <x:c r="X354" s="25"/>
      <x:c r="Y354" s="25"/>
      <x:c r="Z354" s="25"/>
    </x:row>
    <x:row r="355">
      <x:c r="A355" s="25"/>
      <x:c r="B355" s="25"/>
      <x:c r="C355" s="25"/>
      <x:c r="D355" s="25"/>
      <x:c r="E355" s="25"/>
      <x:c r="F355" s="25"/>
      <x:c r="G355" s="25"/>
      <x:c r="H355" s="25"/>
      <x:c r="I355" s="25"/>
      <x:c r="J355" s="25"/>
      <x:c r="K355" s="25"/>
      <x:c r="L355" s="25"/>
      <x:c r="M355" s="25"/>
      <x:c r="N355" s="25"/>
      <x:c r="O355" s="25"/>
      <x:c r="P355" s="25"/>
      <x:c r="Q355" s="25"/>
      <x:c r="R355" s="25"/>
      <x:c r="S355" s="25"/>
      <x:c r="T355" s="25"/>
      <x:c r="U355" s="25"/>
      <x:c r="V355" s="25"/>
      <x:c r="W355" s="25"/>
      <x:c r="X355" s="25"/>
      <x:c r="Y355" s="25"/>
      <x:c r="Z355" s="25"/>
    </x:row>
    <x:row r="356">
      <x:c r="A356" s="25"/>
      <x:c r="B356" s="25"/>
      <x:c r="C356" s="25"/>
      <x:c r="D356" s="25"/>
      <x:c r="E356" s="25"/>
      <x:c r="F356" s="25"/>
      <x:c r="G356" s="25"/>
      <x:c r="H356" s="25"/>
      <x:c r="I356" s="25"/>
      <x:c r="J356" s="25"/>
      <x:c r="K356" s="25"/>
      <x:c r="L356" s="25"/>
      <x:c r="M356" s="25"/>
      <x:c r="N356" s="25"/>
      <x:c r="O356" s="25"/>
      <x:c r="P356" s="25"/>
      <x:c r="Q356" s="25"/>
      <x:c r="R356" s="25"/>
      <x:c r="S356" s="25"/>
      <x:c r="T356" s="25"/>
      <x:c r="U356" s="25"/>
      <x:c r="V356" s="25"/>
      <x:c r="W356" s="25"/>
      <x:c r="X356" s="25"/>
      <x:c r="Y356" s="25"/>
      <x:c r="Z356" s="25"/>
    </x:row>
    <x:row r="357">
      <x:c r="A357" s="25"/>
      <x:c r="B357" s="25"/>
      <x:c r="C357" s="25"/>
      <x:c r="D357" s="25"/>
      <x:c r="E357" s="25"/>
      <x:c r="F357" s="25"/>
      <x:c r="G357" s="25"/>
      <x:c r="H357" s="25"/>
      <x:c r="I357" s="25"/>
      <x:c r="J357" s="25"/>
      <x:c r="K357" s="25"/>
      <x:c r="L357" s="25"/>
      <x:c r="M357" s="25"/>
      <x:c r="N357" s="25"/>
      <x:c r="O357" s="25"/>
      <x:c r="P357" s="25"/>
      <x:c r="Q357" s="25"/>
      <x:c r="R357" s="25"/>
      <x:c r="S357" s="25"/>
      <x:c r="T357" s="25"/>
      <x:c r="U357" s="25"/>
      <x:c r="V357" s="25"/>
      <x:c r="W357" s="25"/>
      <x:c r="X357" s="25"/>
      <x:c r="Y357" s="25"/>
      <x:c r="Z357" s="25"/>
    </x:row>
    <x:row r="358">
      <x:c r="A358" s="25"/>
      <x:c r="B358" s="25"/>
      <x:c r="C358" s="25"/>
      <x:c r="D358" s="25"/>
      <x:c r="E358" s="25"/>
      <x:c r="F358" s="25"/>
      <x:c r="G358" s="25"/>
      <x:c r="H358" s="25"/>
      <x:c r="I358" s="25"/>
      <x:c r="J358" s="25"/>
      <x:c r="K358" s="25"/>
      <x:c r="L358" s="25"/>
      <x:c r="M358" s="25"/>
      <x:c r="N358" s="25"/>
      <x:c r="O358" s="25"/>
      <x:c r="P358" s="25"/>
      <x:c r="Q358" s="25"/>
      <x:c r="R358" s="25"/>
      <x:c r="S358" s="25"/>
      <x:c r="T358" s="25"/>
      <x:c r="U358" s="25"/>
      <x:c r="V358" s="25"/>
      <x:c r="W358" s="25"/>
      <x:c r="X358" s="25"/>
      <x:c r="Y358" s="25"/>
      <x:c r="Z358" s="25"/>
    </x:row>
    <x:row r="359">
      <x:c r="A359" s="25"/>
      <x:c r="B359" s="25"/>
      <x:c r="C359" s="25"/>
      <x:c r="D359" s="25"/>
      <x:c r="E359" s="25"/>
      <x:c r="F359" s="25"/>
      <x:c r="G359" s="25"/>
      <x:c r="H359" s="25"/>
      <x:c r="I359" s="25"/>
      <x:c r="J359" s="25"/>
      <x:c r="K359" s="25"/>
      <x:c r="L359" s="25"/>
      <x:c r="M359" s="25"/>
      <x:c r="N359" s="25"/>
      <x:c r="O359" s="25"/>
      <x:c r="P359" s="25"/>
      <x:c r="Q359" s="25"/>
      <x:c r="R359" s="25"/>
      <x:c r="S359" s="25"/>
      <x:c r="T359" s="25"/>
      <x:c r="U359" s="25"/>
      <x:c r="V359" s="25"/>
      <x:c r="W359" s="25"/>
      <x:c r="X359" s="25"/>
      <x:c r="Y359" s="25"/>
      <x:c r="Z359" s="25"/>
    </x:row>
    <x:row r="360">
      <x:c r="A360" s="25"/>
      <x:c r="B360" s="25"/>
      <x:c r="C360" s="25"/>
      <x:c r="D360" s="25"/>
      <x:c r="E360" s="25"/>
      <x:c r="F360" s="25"/>
      <x:c r="G360" s="25"/>
      <x:c r="H360" s="25"/>
      <x:c r="I360" s="25"/>
      <x:c r="J360" s="25"/>
      <x:c r="K360" s="25"/>
      <x:c r="L360" s="25"/>
      <x:c r="M360" s="25"/>
      <x:c r="N360" s="25"/>
      <x:c r="O360" s="25"/>
      <x:c r="P360" s="25"/>
      <x:c r="Q360" s="25"/>
      <x:c r="R360" s="25"/>
      <x:c r="S360" s="25"/>
      <x:c r="T360" s="25"/>
      <x:c r="U360" s="25"/>
      <x:c r="V360" s="25"/>
      <x:c r="W360" s="25"/>
      <x:c r="X360" s="25"/>
      <x:c r="Y360" s="25"/>
      <x:c r="Z360" s="25"/>
    </x:row>
    <x:row r="361">
      <x:c r="A361" s="25"/>
      <x:c r="B361" s="25"/>
      <x:c r="C361" s="25"/>
      <x:c r="D361" s="25"/>
      <x:c r="E361" s="25"/>
      <x:c r="F361" s="25"/>
      <x:c r="G361" s="25"/>
      <x:c r="H361" s="25"/>
      <x:c r="I361" s="25"/>
      <x:c r="J361" s="25"/>
      <x:c r="K361" s="25"/>
      <x:c r="L361" s="25"/>
      <x:c r="M361" s="25"/>
      <x:c r="N361" s="25"/>
      <x:c r="O361" s="25"/>
      <x:c r="P361" s="25"/>
      <x:c r="Q361" s="25"/>
      <x:c r="R361" s="25"/>
      <x:c r="S361" s="25"/>
      <x:c r="T361" s="25"/>
      <x:c r="U361" s="25"/>
      <x:c r="V361" s="25"/>
      <x:c r="W361" s="25"/>
      <x:c r="X361" s="25"/>
      <x:c r="Y361" s="25"/>
      <x:c r="Z361" s="25"/>
    </x:row>
    <x:row r="362">
      <x:c r="A362" s="25"/>
      <x:c r="B362" s="25"/>
      <x:c r="C362" s="25"/>
      <x:c r="D362" s="25"/>
      <x:c r="E362" s="25"/>
      <x:c r="F362" s="25"/>
      <x:c r="G362" s="25"/>
      <x:c r="H362" s="25"/>
      <x:c r="I362" s="25"/>
      <x:c r="J362" s="25"/>
      <x:c r="K362" s="25"/>
      <x:c r="L362" s="25"/>
      <x:c r="M362" s="25"/>
      <x:c r="N362" s="25"/>
      <x:c r="O362" s="25"/>
      <x:c r="P362" s="25"/>
      <x:c r="Q362" s="25"/>
      <x:c r="R362" s="25"/>
      <x:c r="S362" s="25"/>
      <x:c r="T362" s="25"/>
      <x:c r="U362" s="25"/>
      <x:c r="V362" s="25"/>
      <x:c r="W362" s="25"/>
      <x:c r="X362" s="25"/>
      <x:c r="Y362" s="25"/>
      <x:c r="Z362" s="25"/>
    </x:row>
    <x:row r="363">
      <x:c r="A363" s="25"/>
      <x:c r="B363" s="25"/>
      <x:c r="C363" s="25"/>
      <x:c r="D363" s="25"/>
      <x:c r="E363" s="25"/>
      <x:c r="F363" s="25"/>
      <x:c r="G363" s="25"/>
      <x:c r="H363" s="25"/>
      <x:c r="I363" s="25"/>
      <x:c r="J363" s="25"/>
      <x:c r="K363" s="25"/>
      <x:c r="L363" s="25"/>
      <x:c r="M363" s="25"/>
      <x:c r="N363" s="25"/>
      <x:c r="O363" s="25"/>
      <x:c r="P363" s="25"/>
      <x:c r="Q363" s="25"/>
      <x:c r="R363" s="25"/>
      <x:c r="S363" s="25"/>
      <x:c r="T363" s="25"/>
      <x:c r="U363" s="25"/>
      <x:c r="V363" s="25"/>
      <x:c r="W363" s="25"/>
      <x:c r="X363" s="25"/>
      <x:c r="Y363" s="25"/>
      <x:c r="Z363" s="25"/>
    </x:row>
    <x:row r="364">
      <x:c r="A364" s="25"/>
      <x:c r="B364" s="25"/>
      <x:c r="C364" s="25"/>
      <x:c r="D364" s="25"/>
      <x:c r="E364" s="25"/>
      <x:c r="F364" s="25"/>
      <x:c r="G364" s="25"/>
      <x:c r="H364" s="25"/>
      <x:c r="I364" s="25"/>
      <x:c r="J364" s="25"/>
      <x:c r="K364" s="25"/>
      <x:c r="L364" s="25"/>
      <x:c r="M364" s="25"/>
      <x:c r="N364" s="25"/>
      <x:c r="O364" s="25"/>
      <x:c r="P364" s="25"/>
      <x:c r="Q364" s="25"/>
      <x:c r="R364" s="25"/>
      <x:c r="S364" s="25"/>
      <x:c r="T364" s="25"/>
      <x:c r="U364" s="25"/>
      <x:c r="V364" s="25"/>
      <x:c r="W364" s="25"/>
      <x:c r="X364" s="25"/>
      <x:c r="Y364" s="25"/>
      <x:c r="Z364" s="25"/>
    </x:row>
    <x:row r="365">
      <x:c r="A365" s="25"/>
      <x:c r="B365" s="25"/>
      <x:c r="C365" s="25"/>
      <x:c r="D365" s="25"/>
      <x:c r="E365" s="25"/>
      <x:c r="F365" s="25"/>
      <x:c r="G365" s="25"/>
      <x:c r="H365" s="25"/>
      <x:c r="I365" s="25"/>
      <x:c r="J365" s="25"/>
      <x:c r="K365" s="25"/>
      <x:c r="L365" s="25"/>
      <x:c r="M365" s="25"/>
      <x:c r="N365" s="25"/>
      <x:c r="O365" s="25"/>
      <x:c r="P365" s="25"/>
      <x:c r="Q365" s="25"/>
      <x:c r="R365" s="25"/>
      <x:c r="S365" s="25"/>
      <x:c r="T365" s="25"/>
      <x:c r="U365" s="25"/>
      <x:c r="V365" s="25"/>
      <x:c r="W365" s="25"/>
      <x:c r="X365" s="25"/>
      <x:c r="Y365" s="25"/>
      <x:c r="Z365" s="25"/>
    </x:row>
    <x:row r="366">
      <x:c r="A366" s="25"/>
      <x:c r="B366" s="25"/>
      <x:c r="C366" s="25"/>
      <x:c r="D366" s="25"/>
      <x:c r="E366" s="25"/>
      <x:c r="F366" s="25"/>
      <x:c r="G366" s="25"/>
      <x:c r="H366" s="25"/>
      <x:c r="I366" s="25"/>
      <x:c r="J366" s="25"/>
      <x:c r="K366" s="25"/>
      <x:c r="L366" s="25"/>
      <x:c r="M366" s="25"/>
      <x:c r="N366" s="25"/>
      <x:c r="O366" s="25"/>
      <x:c r="P366" s="25"/>
      <x:c r="Q366" s="25"/>
      <x:c r="R366" s="25"/>
      <x:c r="S366" s="25"/>
      <x:c r="T366" s="25"/>
      <x:c r="U366" s="25"/>
      <x:c r="V366" s="25"/>
      <x:c r="W366" s="25"/>
      <x:c r="X366" s="25"/>
      <x:c r="Y366" s="25"/>
      <x:c r="Z366" s="25"/>
    </x:row>
    <x:row r="367">
      <x:c r="A367" s="25"/>
      <x:c r="B367" s="25"/>
      <x:c r="C367" s="25"/>
      <x:c r="D367" s="25"/>
      <x:c r="E367" s="25"/>
      <x:c r="F367" s="25"/>
      <x:c r="G367" s="25"/>
      <x:c r="H367" s="25"/>
      <x:c r="I367" s="25"/>
      <x:c r="J367" s="25"/>
      <x:c r="K367" s="25"/>
      <x:c r="L367" s="25"/>
      <x:c r="M367" s="25"/>
      <x:c r="N367" s="25"/>
      <x:c r="O367" s="25"/>
      <x:c r="P367" s="25"/>
      <x:c r="Q367" s="25"/>
      <x:c r="R367" s="25"/>
      <x:c r="S367" s="25"/>
      <x:c r="T367" s="25"/>
      <x:c r="U367" s="25"/>
      <x:c r="V367" s="25"/>
      <x:c r="W367" s="25"/>
      <x:c r="X367" s="25"/>
      <x:c r="Y367" s="25"/>
      <x:c r="Z367" s="25"/>
    </x:row>
    <x:row r="368">
      <x:c r="A368" s="25"/>
      <x:c r="B368" s="25"/>
      <x:c r="C368" s="25"/>
      <x:c r="D368" s="25"/>
      <x:c r="E368" s="25"/>
      <x:c r="F368" s="25"/>
      <x:c r="G368" s="25"/>
      <x:c r="H368" s="25"/>
      <x:c r="I368" s="25"/>
      <x:c r="J368" s="25"/>
      <x:c r="K368" s="25"/>
      <x:c r="L368" s="25"/>
      <x:c r="M368" s="25"/>
      <x:c r="N368" s="25"/>
      <x:c r="O368" s="25"/>
      <x:c r="P368" s="25"/>
      <x:c r="Q368" s="25"/>
      <x:c r="R368" s="25"/>
      <x:c r="S368" s="25"/>
      <x:c r="T368" s="25"/>
      <x:c r="U368" s="25"/>
      <x:c r="V368" s="25"/>
      <x:c r="W368" s="25"/>
      <x:c r="X368" s="25"/>
      <x:c r="Y368" s="25"/>
      <x:c r="Z368" s="25"/>
    </x:row>
    <x:row r="369">
      <x:c r="A369" s="25"/>
      <x:c r="B369" s="25"/>
      <x:c r="C369" s="25"/>
      <x:c r="D369" s="25"/>
      <x:c r="E369" s="25"/>
      <x:c r="F369" s="25"/>
      <x:c r="G369" s="25"/>
      <x:c r="H369" s="25"/>
      <x:c r="I369" s="25"/>
      <x:c r="J369" s="25"/>
      <x:c r="K369" s="25"/>
      <x:c r="L369" s="25"/>
      <x:c r="M369" s="25"/>
      <x:c r="N369" s="25"/>
      <x:c r="O369" s="25"/>
      <x:c r="P369" s="25"/>
      <x:c r="Q369" s="25"/>
      <x:c r="R369" s="25"/>
      <x:c r="S369" s="25"/>
      <x:c r="T369" s="25"/>
      <x:c r="U369" s="25"/>
      <x:c r="V369" s="25"/>
      <x:c r="W369" s="25"/>
      <x:c r="X369" s="25"/>
      <x:c r="Y369" s="25"/>
      <x:c r="Z369" s="25"/>
    </x:row>
    <x:row r="370">
      <x:c r="A370" s="25"/>
      <x:c r="B370" s="25"/>
      <x:c r="C370" s="25"/>
      <x:c r="D370" s="25"/>
      <x:c r="E370" s="25"/>
      <x:c r="F370" s="25"/>
      <x:c r="G370" s="25"/>
      <x:c r="H370" s="25"/>
      <x:c r="I370" s="25"/>
      <x:c r="J370" s="25"/>
      <x:c r="K370" s="25"/>
      <x:c r="L370" s="25"/>
      <x:c r="M370" s="25"/>
      <x:c r="N370" s="25"/>
      <x:c r="O370" s="25"/>
      <x:c r="P370" s="25"/>
      <x:c r="Q370" s="25"/>
      <x:c r="R370" s="25"/>
      <x:c r="S370" s="25"/>
      <x:c r="T370" s="25"/>
      <x:c r="U370" s="25"/>
      <x:c r="V370" s="25"/>
      <x:c r="W370" s="25"/>
      <x:c r="X370" s="25"/>
      <x:c r="Y370" s="25"/>
      <x:c r="Z370" s="25"/>
    </x:row>
    <x:row r="371">
      <x:c r="A371" s="25"/>
      <x:c r="B371" s="25"/>
      <x:c r="C371" s="25"/>
      <x:c r="D371" s="25"/>
      <x:c r="E371" s="25"/>
      <x:c r="F371" s="25"/>
      <x:c r="G371" s="25"/>
      <x:c r="H371" s="25"/>
      <x:c r="I371" s="25"/>
      <x:c r="J371" s="25"/>
      <x:c r="K371" s="25"/>
      <x:c r="L371" s="25"/>
      <x:c r="M371" s="25"/>
      <x:c r="N371" s="25"/>
      <x:c r="O371" s="25"/>
      <x:c r="P371" s="25"/>
      <x:c r="Q371" s="25"/>
      <x:c r="R371" s="25"/>
      <x:c r="S371" s="25"/>
      <x:c r="T371" s="25"/>
      <x:c r="U371" s="25"/>
      <x:c r="V371" s="25"/>
      <x:c r="W371" s="25"/>
      <x:c r="X371" s="25"/>
      <x:c r="Y371" s="25"/>
      <x:c r="Z371" s="25"/>
    </x:row>
    <x:row r="372">
      <x:c r="A372" s="25"/>
      <x:c r="B372" s="25"/>
      <x:c r="C372" s="25"/>
      <x:c r="D372" s="25"/>
      <x:c r="E372" s="25"/>
      <x:c r="F372" s="25"/>
      <x:c r="G372" s="25"/>
      <x:c r="H372" s="25"/>
      <x:c r="I372" s="25"/>
      <x:c r="J372" s="25"/>
      <x:c r="K372" s="25"/>
      <x:c r="L372" s="25"/>
      <x:c r="M372" s="25"/>
      <x:c r="N372" s="25"/>
      <x:c r="O372" s="25"/>
      <x:c r="P372" s="25"/>
      <x:c r="Q372" s="25"/>
      <x:c r="R372" s="25"/>
      <x:c r="S372" s="25"/>
      <x:c r="T372" s="25"/>
      <x:c r="U372" s="25"/>
      <x:c r="V372" s="25"/>
      <x:c r="W372" s="25"/>
      <x:c r="X372" s="25"/>
      <x:c r="Y372" s="25"/>
      <x:c r="Z372" s="25"/>
    </x:row>
    <x:row r="373">
      <x:c r="A373" s="25"/>
      <x:c r="B373" s="25"/>
      <x:c r="C373" s="25"/>
      <x:c r="D373" s="25"/>
      <x:c r="E373" s="25"/>
      <x:c r="F373" s="25"/>
      <x:c r="G373" s="25"/>
      <x:c r="H373" s="25"/>
      <x:c r="I373" s="25"/>
      <x:c r="J373" s="25"/>
      <x:c r="K373" s="25"/>
      <x:c r="L373" s="25"/>
      <x:c r="M373" s="25"/>
      <x:c r="N373" s="25"/>
      <x:c r="O373" s="25"/>
      <x:c r="P373" s="25"/>
      <x:c r="Q373" s="25"/>
      <x:c r="R373" s="25"/>
      <x:c r="S373" s="25"/>
      <x:c r="T373" s="25"/>
      <x:c r="U373" s="25"/>
      <x:c r="V373" s="25"/>
      <x:c r="W373" s="25"/>
      <x:c r="X373" s="25"/>
      <x:c r="Y373" s="25"/>
      <x:c r="Z373" s="25"/>
    </x:row>
    <x:row r="374">
      <x:c r="A374" s="25"/>
      <x:c r="B374" s="25"/>
      <x:c r="C374" s="25"/>
      <x:c r="D374" s="25"/>
      <x:c r="E374" s="25"/>
      <x:c r="F374" s="25"/>
      <x:c r="G374" s="25"/>
      <x:c r="H374" s="25"/>
      <x:c r="I374" s="25"/>
      <x:c r="J374" s="25"/>
      <x:c r="K374" s="25"/>
      <x:c r="L374" s="25"/>
      <x:c r="M374" s="25"/>
      <x:c r="N374" s="25"/>
      <x:c r="O374" s="25"/>
      <x:c r="P374" s="25"/>
      <x:c r="Q374" s="25"/>
      <x:c r="R374" s="25"/>
      <x:c r="S374" s="25"/>
      <x:c r="T374" s="25"/>
      <x:c r="U374" s="25"/>
      <x:c r="V374" s="25"/>
      <x:c r="W374" s="25"/>
      <x:c r="X374" s="25"/>
      <x:c r="Y374" s="25"/>
      <x:c r="Z374" s="25"/>
    </x:row>
    <x:row r="375">
      <x:c r="A375" s="25"/>
      <x:c r="B375" s="25"/>
      <x:c r="C375" s="25"/>
      <x:c r="D375" s="25"/>
      <x:c r="E375" s="25"/>
      <x:c r="F375" s="25"/>
      <x:c r="G375" s="25"/>
      <x:c r="H375" s="25"/>
      <x:c r="I375" s="25"/>
      <x:c r="J375" s="25"/>
      <x:c r="K375" s="25"/>
      <x:c r="L375" s="25"/>
      <x:c r="M375" s="25"/>
      <x:c r="N375" s="25"/>
      <x:c r="O375" s="25"/>
      <x:c r="P375" s="25"/>
      <x:c r="Q375" s="25"/>
      <x:c r="R375" s="25"/>
      <x:c r="S375" s="25"/>
      <x:c r="T375" s="25"/>
      <x:c r="U375" s="25"/>
      <x:c r="V375" s="25"/>
      <x:c r="W375" s="25"/>
      <x:c r="X375" s="25"/>
      <x:c r="Y375" s="25"/>
      <x:c r="Z375" s="25"/>
    </x:row>
    <x:row r="376">
      <x:c r="A376" s="25"/>
      <x:c r="B376" s="25"/>
      <x:c r="C376" s="25"/>
      <x:c r="D376" s="25"/>
      <x:c r="E376" s="25"/>
      <x:c r="F376" s="25"/>
      <x:c r="G376" s="25"/>
      <x:c r="H376" s="25"/>
      <x:c r="I376" s="25"/>
      <x:c r="J376" s="25"/>
      <x:c r="K376" s="25"/>
      <x:c r="L376" s="25"/>
      <x:c r="M376" s="25"/>
      <x:c r="N376" s="25"/>
      <x:c r="O376" s="25"/>
      <x:c r="P376" s="25"/>
      <x:c r="Q376" s="25"/>
      <x:c r="R376" s="25"/>
      <x:c r="S376" s="25"/>
      <x:c r="T376" s="25"/>
      <x:c r="U376" s="25"/>
      <x:c r="V376" s="25"/>
      <x:c r="W376" s="25"/>
      <x:c r="X376" s="25"/>
      <x:c r="Y376" s="25"/>
      <x:c r="Z376" s="25"/>
    </x:row>
    <x:row r="377">
      <x:c r="A377" s="25"/>
      <x:c r="B377" s="25"/>
      <x:c r="C377" s="25"/>
      <x:c r="D377" s="25"/>
      <x:c r="E377" s="25"/>
      <x:c r="F377" s="25"/>
      <x:c r="G377" s="25"/>
      <x:c r="H377" s="25"/>
      <x:c r="I377" s="25"/>
      <x:c r="J377" s="25"/>
      <x:c r="K377" s="25"/>
      <x:c r="L377" s="25"/>
      <x:c r="M377" s="25"/>
      <x:c r="N377" s="25"/>
      <x:c r="O377" s="25"/>
      <x:c r="P377" s="25"/>
      <x:c r="Q377" s="25"/>
      <x:c r="R377" s="25"/>
      <x:c r="S377" s="25"/>
      <x:c r="T377" s="25"/>
      <x:c r="U377" s="25"/>
      <x:c r="V377" s="25"/>
      <x:c r="W377" s="25"/>
      <x:c r="X377" s="25"/>
      <x:c r="Y377" s="25"/>
      <x:c r="Z377" s="25"/>
    </x:row>
    <x:row r="378">
      <x:c r="A378" s="25"/>
      <x:c r="B378" s="25"/>
      <x:c r="C378" s="25"/>
      <x:c r="D378" s="25"/>
      <x:c r="E378" s="25"/>
      <x:c r="F378" s="25"/>
      <x:c r="G378" s="25"/>
      <x:c r="H378" s="25"/>
      <x:c r="I378" s="25"/>
      <x:c r="J378" s="25"/>
      <x:c r="K378" s="25"/>
      <x:c r="L378" s="25"/>
      <x:c r="M378" s="25"/>
      <x:c r="N378" s="25"/>
      <x:c r="O378" s="25"/>
      <x:c r="P378" s="25"/>
      <x:c r="Q378" s="25"/>
      <x:c r="R378" s="25"/>
      <x:c r="S378" s="25"/>
      <x:c r="T378" s="25"/>
      <x:c r="U378" s="25"/>
      <x:c r="V378" s="25"/>
      <x:c r="W378" s="25"/>
      <x:c r="X378" s="25"/>
      <x:c r="Y378" s="25"/>
      <x:c r="Z378" s="25"/>
    </x:row>
    <x:row r="379">
      <x:c r="A379" s="25"/>
      <x:c r="B379" s="25"/>
      <x:c r="C379" s="25"/>
      <x:c r="D379" s="25"/>
      <x:c r="E379" s="25"/>
      <x:c r="F379" s="25"/>
      <x:c r="G379" s="25"/>
      <x:c r="H379" s="25"/>
      <x:c r="I379" s="25"/>
      <x:c r="J379" s="25"/>
      <x:c r="K379" s="25"/>
      <x:c r="L379" s="25"/>
      <x:c r="M379" s="25"/>
      <x:c r="N379" s="25"/>
      <x:c r="O379" s="25"/>
      <x:c r="P379" s="25"/>
      <x:c r="Q379" s="25"/>
      <x:c r="R379" s="25"/>
      <x:c r="S379" s="25"/>
      <x:c r="T379" s="25"/>
      <x:c r="U379" s="25"/>
      <x:c r="V379" s="25"/>
      <x:c r="W379" s="25"/>
      <x:c r="X379" s="25"/>
      <x:c r="Y379" s="25"/>
      <x:c r="Z379" s="25"/>
    </x:row>
    <x:row r="380">
      <x:c r="A380" s="25"/>
      <x:c r="B380" s="25"/>
      <x:c r="C380" s="25"/>
      <x:c r="D380" s="25"/>
      <x:c r="E380" s="25"/>
      <x:c r="F380" s="25"/>
      <x:c r="G380" s="25"/>
      <x:c r="H380" s="25"/>
      <x:c r="I380" s="25"/>
      <x:c r="J380" s="25"/>
      <x:c r="K380" s="25"/>
      <x:c r="L380" s="25"/>
      <x:c r="M380" s="25"/>
      <x:c r="N380" s="25"/>
      <x:c r="O380" s="25"/>
      <x:c r="P380" s="25"/>
      <x:c r="Q380" s="25"/>
      <x:c r="R380" s="25"/>
      <x:c r="S380" s="25"/>
      <x:c r="T380" s="25"/>
      <x:c r="U380" s="25"/>
      <x:c r="V380" s="25"/>
      <x:c r="W380" s="25"/>
      <x:c r="X380" s="25"/>
      <x:c r="Y380" s="25"/>
      <x:c r="Z380" s="25"/>
    </x:row>
    <x:row r="381">
      <x:c r="A381" s="25"/>
      <x:c r="B381" s="25"/>
      <x:c r="C381" s="25"/>
      <x:c r="D381" s="25"/>
      <x:c r="E381" s="25"/>
      <x:c r="F381" s="25"/>
      <x:c r="G381" s="25"/>
      <x:c r="H381" s="25"/>
      <x:c r="I381" s="25"/>
      <x:c r="J381" s="25"/>
      <x:c r="K381" s="25"/>
      <x:c r="L381" s="25"/>
      <x:c r="M381" s="25"/>
      <x:c r="N381" s="25"/>
      <x:c r="O381" s="25"/>
      <x:c r="P381" s="25"/>
      <x:c r="Q381" s="25"/>
      <x:c r="R381" s="25"/>
      <x:c r="S381" s="25"/>
      <x:c r="T381" s="25"/>
      <x:c r="U381" s="25"/>
      <x:c r="V381" s="25"/>
      <x:c r="W381" s="25"/>
      <x:c r="X381" s="25"/>
      <x:c r="Y381" s="25"/>
      <x:c r="Z381" s="25"/>
    </x:row>
    <x:row r="382">
      <x:c r="A382" s="25"/>
      <x:c r="B382" s="25"/>
      <x:c r="C382" s="25"/>
      <x:c r="D382" s="25"/>
      <x:c r="E382" s="25"/>
      <x:c r="F382" s="25"/>
      <x:c r="G382" s="25"/>
      <x:c r="H382" s="25"/>
      <x:c r="I382" s="25"/>
      <x:c r="J382" s="25"/>
      <x:c r="K382" s="25"/>
      <x:c r="L382" s="25"/>
      <x:c r="M382" s="25"/>
      <x:c r="N382" s="25"/>
      <x:c r="O382" s="25"/>
      <x:c r="P382" s="25"/>
      <x:c r="Q382" s="25"/>
      <x:c r="R382" s="25"/>
      <x:c r="S382" s="25"/>
      <x:c r="T382" s="25"/>
      <x:c r="U382" s="25"/>
      <x:c r="V382" s="25"/>
      <x:c r="W382" s="25"/>
      <x:c r="X382" s="25"/>
      <x:c r="Y382" s="25"/>
      <x:c r="Z382" s="25"/>
    </x:row>
    <x:row r="383">
      <x:c r="A383" s="25"/>
      <x:c r="B383" s="25"/>
      <x:c r="C383" s="25"/>
      <x:c r="D383" s="25"/>
      <x:c r="E383" s="25"/>
      <x:c r="F383" s="25"/>
      <x:c r="G383" s="25"/>
      <x:c r="H383" s="25"/>
      <x:c r="I383" s="25"/>
      <x:c r="J383" s="25"/>
      <x:c r="K383" s="25"/>
      <x:c r="L383" s="25"/>
      <x:c r="M383" s="25"/>
      <x:c r="N383" s="25"/>
      <x:c r="O383" s="25"/>
      <x:c r="P383" s="25"/>
      <x:c r="Q383" s="25"/>
      <x:c r="R383" s="25"/>
      <x:c r="S383" s="25"/>
      <x:c r="T383" s="25"/>
      <x:c r="U383" s="25"/>
      <x:c r="V383" s="25"/>
      <x:c r="W383" s="25"/>
      <x:c r="X383" s="25"/>
      <x:c r="Y383" s="25"/>
      <x:c r="Z383" s="25"/>
    </x:row>
    <x:row r="384">
      <x:c r="A384" s="25"/>
      <x:c r="B384" s="25"/>
      <x:c r="C384" s="25"/>
      <x:c r="D384" s="25"/>
      <x:c r="E384" s="25"/>
      <x:c r="F384" s="25"/>
      <x:c r="G384" s="25"/>
      <x:c r="H384" s="25"/>
      <x:c r="I384" s="25"/>
      <x:c r="J384" s="25"/>
      <x:c r="K384" s="25"/>
      <x:c r="L384" s="25"/>
      <x:c r="M384" s="25"/>
      <x:c r="N384" s="25"/>
      <x:c r="O384" s="25"/>
      <x:c r="P384" s="25"/>
      <x:c r="Q384" s="25"/>
      <x:c r="R384" s="25"/>
      <x:c r="S384" s="25"/>
      <x:c r="T384" s="25"/>
      <x:c r="U384" s="25"/>
      <x:c r="V384" s="25"/>
      <x:c r="W384" s="25"/>
      <x:c r="X384" s="25"/>
      <x:c r="Y384" s="25"/>
      <x:c r="Z384" s="25"/>
    </x:row>
    <x:row r="385">
      <x:c r="A385" s="25"/>
      <x:c r="B385" s="25"/>
      <x:c r="C385" s="25"/>
      <x:c r="D385" s="25"/>
      <x:c r="E385" s="25"/>
      <x:c r="F385" s="25"/>
      <x:c r="G385" s="25"/>
      <x:c r="H385" s="25"/>
      <x:c r="I385" s="25"/>
      <x:c r="J385" s="25"/>
      <x:c r="K385" s="25"/>
      <x:c r="L385" s="25"/>
      <x:c r="M385" s="25"/>
      <x:c r="N385" s="25"/>
      <x:c r="O385" s="25"/>
      <x:c r="P385" s="25"/>
      <x:c r="Q385" s="25"/>
      <x:c r="R385" s="25"/>
      <x:c r="S385" s="25"/>
      <x:c r="T385" s="25"/>
      <x:c r="U385" s="25"/>
      <x:c r="V385" s="25"/>
      <x:c r="W385" s="25"/>
      <x:c r="X385" s="25"/>
      <x:c r="Y385" s="25"/>
      <x:c r="Z385" s="25"/>
    </x:row>
    <x:row r="386">
      <x:c r="A386" s="25"/>
      <x:c r="B386" s="25"/>
      <x:c r="C386" s="25"/>
      <x:c r="D386" s="25"/>
      <x:c r="E386" s="25"/>
      <x:c r="F386" s="25"/>
      <x:c r="G386" s="25"/>
      <x:c r="H386" s="25"/>
      <x:c r="I386" s="25"/>
      <x:c r="J386" s="25"/>
      <x:c r="K386" s="25"/>
      <x:c r="L386" s="25"/>
      <x:c r="M386" s="25"/>
      <x:c r="N386" s="25"/>
      <x:c r="O386" s="25"/>
      <x:c r="P386" s="25"/>
      <x:c r="Q386" s="25"/>
      <x:c r="R386" s="25"/>
      <x:c r="S386" s="25"/>
      <x:c r="T386" s="25"/>
      <x:c r="U386" s="25"/>
      <x:c r="V386" s="25"/>
      <x:c r="W386" s="25"/>
      <x:c r="X386" s="25"/>
      <x:c r="Y386" s="25"/>
      <x:c r="Z386" s="25"/>
    </x:row>
    <x:row r="387">
      <x:c r="A387" s="25"/>
      <x:c r="B387" s="25"/>
      <x:c r="C387" s="25"/>
      <x:c r="D387" s="25"/>
      <x:c r="E387" s="25"/>
      <x:c r="F387" s="25"/>
      <x:c r="G387" s="25"/>
      <x:c r="H387" s="25"/>
      <x:c r="I387" s="25"/>
      <x:c r="J387" s="25"/>
      <x:c r="K387" s="25"/>
      <x:c r="L387" s="25"/>
      <x:c r="M387" s="25"/>
      <x:c r="N387" s="25"/>
      <x:c r="O387" s="25"/>
      <x:c r="P387" s="25"/>
      <x:c r="Q387" s="25"/>
      <x:c r="R387" s="25"/>
      <x:c r="S387" s="25"/>
      <x:c r="T387" s="25"/>
      <x:c r="U387" s="25"/>
      <x:c r="V387" s="25"/>
      <x:c r="W387" s="25"/>
      <x:c r="X387" s="25"/>
      <x:c r="Y387" s="25"/>
      <x:c r="Z387" s="25"/>
    </x:row>
    <x:row r="388">
      <x:c r="A388" s="25"/>
      <x:c r="B388" s="25"/>
      <x:c r="C388" s="25"/>
      <x:c r="D388" s="25"/>
      <x:c r="E388" s="25"/>
      <x:c r="F388" s="25"/>
      <x:c r="G388" s="25"/>
      <x:c r="H388" s="25"/>
      <x:c r="I388" s="25"/>
      <x:c r="J388" s="25"/>
      <x:c r="K388" s="25"/>
      <x:c r="L388" s="25"/>
      <x:c r="M388" s="25"/>
      <x:c r="N388" s="25"/>
      <x:c r="O388" s="25"/>
      <x:c r="P388" s="25"/>
      <x:c r="Q388" s="25"/>
      <x:c r="R388" s="25"/>
      <x:c r="S388" s="25"/>
      <x:c r="T388" s="25"/>
      <x:c r="U388" s="25"/>
      <x:c r="V388" s="25"/>
      <x:c r="W388" s="25"/>
      <x:c r="X388" s="25"/>
      <x:c r="Y388" s="25"/>
      <x:c r="Z388" s="25"/>
    </x:row>
    <x:row r="389">
      <x:c r="A389" s="25"/>
      <x:c r="B389" s="25"/>
      <x:c r="C389" s="25"/>
      <x:c r="D389" s="25"/>
      <x:c r="E389" s="25"/>
      <x:c r="F389" s="25"/>
      <x:c r="G389" s="25"/>
      <x:c r="H389" s="25"/>
      <x:c r="I389" s="25"/>
      <x:c r="J389" s="25"/>
      <x:c r="K389" s="25"/>
      <x:c r="L389" s="25"/>
      <x:c r="M389" s="25"/>
      <x:c r="N389" s="25"/>
      <x:c r="O389" s="25"/>
      <x:c r="P389" s="25"/>
      <x:c r="Q389" s="25"/>
      <x:c r="R389" s="25"/>
      <x:c r="S389" s="25"/>
      <x:c r="T389" s="25"/>
      <x:c r="U389" s="25"/>
      <x:c r="V389" s="25"/>
      <x:c r="W389" s="25"/>
      <x:c r="X389" s="25"/>
      <x:c r="Y389" s="25"/>
      <x:c r="Z389" s="25"/>
    </x:row>
    <x:row r="390">
      <x:c r="A390" s="25"/>
      <x:c r="B390" s="25"/>
      <x:c r="C390" s="25"/>
      <x:c r="D390" s="25"/>
      <x:c r="E390" s="25"/>
      <x:c r="F390" s="25"/>
      <x:c r="G390" s="25"/>
      <x:c r="H390" s="25"/>
      <x:c r="I390" s="25"/>
      <x:c r="J390" s="25"/>
      <x:c r="K390" s="25"/>
      <x:c r="L390" s="25"/>
      <x:c r="M390" s="25"/>
      <x:c r="N390" s="25"/>
      <x:c r="O390" s="25"/>
      <x:c r="P390" s="25"/>
      <x:c r="Q390" s="25"/>
      <x:c r="R390" s="25"/>
      <x:c r="S390" s="25"/>
      <x:c r="T390" s="25"/>
      <x:c r="U390" s="25"/>
      <x:c r="V390" s="25"/>
      <x:c r="W390" s="25"/>
      <x:c r="X390" s="25"/>
      <x:c r="Y390" s="25"/>
      <x:c r="Z390" s="25"/>
    </x:row>
    <x:row r="391">
      <x:c r="A391" s="25"/>
      <x:c r="B391" s="25"/>
      <x:c r="C391" s="25"/>
      <x:c r="D391" s="25"/>
      <x:c r="E391" s="25"/>
      <x:c r="F391" s="25"/>
      <x:c r="G391" s="25"/>
      <x:c r="H391" s="25"/>
      <x:c r="I391" s="25"/>
      <x:c r="J391" s="25"/>
      <x:c r="K391" s="25"/>
      <x:c r="L391" s="25"/>
      <x:c r="M391" s="25"/>
      <x:c r="N391" s="25"/>
      <x:c r="O391" s="25"/>
      <x:c r="P391" s="25"/>
      <x:c r="Q391" s="25"/>
      <x:c r="R391" s="25"/>
      <x:c r="S391" s="25"/>
      <x:c r="T391" s="25"/>
      <x:c r="U391" s="25"/>
      <x:c r="V391" s="25"/>
      <x:c r="W391" s="25"/>
      <x:c r="X391" s="25"/>
      <x:c r="Y391" s="25"/>
      <x:c r="Z391" s="25"/>
    </x:row>
    <x:row r="392">
      <x:c r="A392" s="25"/>
      <x:c r="B392" s="25"/>
      <x:c r="C392" s="25"/>
      <x:c r="D392" s="25"/>
      <x:c r="E392" s="25"/>
      <x:c r="F392" s="25"/>
      <x:c r="G392" s="25"/>
      <x:c r="H392" s="25"/>
      <x:c r="I392" s="25"/>
      <x:c r="J392" s="25"/>
      <x:c r="K392" s="25"/>
      <x:c r="L392" s="25"/>
      <x:c r="M392" s="25"/>
      <x:c r="N392" s="25"/>
      <x:c r="O392" s="25"/>
      <x:c r="P392" s="25"/>
      <x:c r="Q392" s="25"/>
      <x:c r="R392" s="25"/>
      <x:c r="S392" s="25"/>
      <x:c r="T392" s="25"/>
      <x:c r="U392" s="25"/>
      <x:c r="V392" s="25"/>
      <x:c r="W392" s="25"/>
      <x:c r="X392" s="25"/>
      <x:c r="Y392" s="25"/>
      <x:c r="Z392" s="25"/>
    </x:row>
    <x:row r="393">
      <x:c r="A393" s="25"/>
      <x:c r="B393" s="25"/>
      <x:c r="C393" s="25"/>
      <x:c r="D393" s="25"/>
      <x:c r="E393" s="25"/>
      <x:c r="F393" s="25"/>
      <x:c r="G393" s="25"/>
      <x:c r="H393" s="25"/>
      <x:c r="I393" s="25"/>
      <x:c r="J393" s="25"/>
      <x:c r="K393" s="25"/>
      <x:c r="L393" s="25"/>
      <x:c r="M393" s="25"/>
      <x:c r="N393" s="25"/>
      <x:c r="O393" s="25"/>
      <x:c r="P393" s="25"/>
      <x:c r="Q393" s="25"/>
      <x:c r="R393" s="25"/>
      <x:c r="S393" s="25"/>
      <x:c r="T393" s="25"/>
      <x:c r="U393" s="25"/>
      <x:c r="V393" s="25"/>
      <x:c r="W393" s="25"/>
      <x:c r="X393" s="25"/>
      <x:c r="Y393" s="25"/>
      <x:c r="Z393" s="25"/>
    </x:row>
    <x:row r="394">
      <x:c r="A394" s="25"/>
      <x:c r="B394" s="25"/>
      <x:c r="C394" s="25"/>
      <x:c r="D394" s="25"/>
      <x:c r="E394" s="25"/>
      <x:c r="F394" s="25"/>
      <x:c r="G394" s="25"/>
      <x:c r="H394" s="25"/>
      <x:c r="I394" s="25"/>
      <x:c r="J394" s="25"/>
      <x:c r="K394" s="25"/>
      <x:c r="L394" s="25"/>
      <x:c r="M394" s="25"/>
      <x:c r="N394" s="25"/>
      <x:c r="O394" s="25"/>
      <x:c r="P394" s="25"/>
      <x:c r="Q394" s="25"/>
      <x:c r="R394" s="25"/>
      <x:c r="S394" s="25"/>
      <x:c r="T394" s="25"/>
      <x:c r="U394" s="25"/>
      <x:c r="V394" s="25"/>
      <x:c r="W394" s="25"/>
      <x:c r="X394" s="25"/>
      <x:c r="Y394" s="25"/>
      <x:c r="Z394" s="25"/>
    </x:row>
    <x:row r="395">
      <x:c r="A395" s="25"/>
      <x:c r="B395" s="25"/>
      <x:c r="C395" s="25"/>
      <x:c r="D395" s="25"/>
      <x:c r="E395" s="25"/>
      <x:c r="F395" s="25"/>
      <x:c r="G395" s="25"/>
      <x:c r="H395" s="25"/>
      <x:c r="I395" s="25"/>
      <x:c r="J395" s="25"/>
      <x:c r="K395" s="25"/>
      <x:c r="L395" s="25"/>
      <x:c r="M395" s="25"/>
      <x:c r="N395" s="25"/>
      <x:c r="O395" s="25"/>
      <x:c r="P395" s="25"/>
      <x:c r="Q395" s="25"/>
      <x:c r="R395" s="25"/>
      <x:c r="S395" s="25"/>
      <x:c r="T395" s="25"/>
      <x:c r="U395" s="25"/>
      <x:c r="V395" s="25"/>
      <x:c r="W395" s="25"/>
      <x:c r="X395" s="25"/>
      <x:c r="Y395" s="25"/>
      <x:c r="Z395" s="25"/>
    </x:row>
    <x:row r="396">
      <x:c r="A396" s="25"/>
      <x:c r="B396" s="25"/>
      <x:c r="C396" s="25"/>
      <x:c r="D396" s="25"/>
      <x:c r="E396" s="25"/>
      <x:c r="F396" s="25"/>
      <x:c r="G396" s="25"/>
      <x:c r="H396" s="25"/>
      <x:c r="I396" s="25"/>
      <x:c r="J396" s="25"/>
      <x:c r="K396" s="25"/>
      <x:c r="L396" s="25"/>
      <x:c r="M396" s="25"/>
      <x:c r="N396" s="25"/>
      <x:c r="O396" s="25"/>
      <x:c r="P396" s="25"/>
      <x:c r="Q396" s="25"/>
      <x:c r="R396" s="25"/>
      <x:c r="S396" s="25"/>
      <x:c r="T396" s="25"/>
      <x:c r="U396" s="25"/>
      <x:c r="V396" s="25"/>
      <x:c r="W396" s="25"/>
      <x:c r="X396" s="25"/>
      <x:c r="Y396" s="25"/>
      <x:c r="Z396" s="25"/>
    </x:row>
    <x:row r="397">
      <x:c r="A397" s="25"/>
      <x:c r="B397" s="25"/>
      <x:c r="C397" s="25"/>
      <x:c r="D397" s="25"/>
      <x:c r="E397" s="25"/>
      <x:c r="F397" s="25"/>
      <x:c r="G397" s="25"/>
      <x:c r="H397" s="25"/>
      <x:c r="I397" s="25"/>
      <x:c r="J397" s="25"/>
      <x:c r="K397" s="25"/>
      <x:c r="L397" s="25"/>
      <x:c r="M397" s="25"/>
      <x:c r="N397" s="25"/>
      <x:c r="O397" s="25"/>
      <x:c r="P397" s="25"/>
      <x:c r="Q397" s="25"/>
      <x:c r="R397" s="25"/>
      <x:c r="S397" s="25"/>
      <x:c r="T397" s="25"/>
      <x:c r="U397" s="25"/>
      <x:c r="V397" s="25"/>
      <x:c r="W397" s="25"/>
      <x:c r="X397" s="25"/>
      <x:c r="Y397" s="25"/>
      <x:c r="Z397" s="25"/>
    </x:row>
    <x:row r="398">
      <x:c r="A398" s="25"/>
      <x:c r="B398" s="25"/>
      <x:c r="C398" s="25"/>
      <x:c r="D398" s="25"/>
      <x:c r="E398" s="25"/>
      <x:c r="F398" s="25"/>
      <x:c r="G398" s="25"/>
      <x:c r="H398" s="25"/>
      <x:c r="I398" s="25"/>
      <x:c r="J398" s="25"/>
      <x:c r="K398" s="25"/>
      <x:c r="L398" s="25"/>
      <x:c r="M398" s="25"/>
      <x:c r="N398" s="25"/>
      <x:c r="O398" s="25"/>
      <x:c r="P398" s="25"/>
      <x:c r="Q398" s="25"/>
      <x:c r="R398" s="25"/>
      <x:c r="S398" s="25"/>
      <x:c r="T398" s="25"/>
      <x:c r="U398" s="25"/>
      <x:c r="V398" s="25"/>
      <x:c r="W398" s="25"/>
      <x:c r="X398" s="25"/>
      <x:c r="Y398" s="25"/>
      <x:c r="Z398" s="25"/>
    </x:row>
    <x:row r="399">
      <x:c r="A399" s="25"/>
      <x:c r="B399" s="25"/>
      <x:c r="C399" s="25"/>
      <x:c r="D399" s="25"/>
      <x:c r="E399" s="25"/>
      <x:c r="F399" s="25"/>
      <x:c r="G399" s="25"/>
      <x:c r="H399" s="25"/>
      <x:c r="I399" s="25"/>
      <x:c r="J399" s="25"/>
      <x:c r="K399" s="25"/>
      <x:c r="L399" s="25"/>
      <x:c r="M399" s="25"/>
      <x:c r="N399" s="25"/>
      <x:c r="O399" s="25"/>
      <x:c r="P399" s="25"/>
      <x:c r="Q399" s="25"/>
      <x:c r="R399" s="25"/>
      <x:c r="S399" s="25"/>
      <x:c r="T399" s="25"/>
      <x:c r="U399" s="25"/>
      <x:c r="V399" s="25"/>
      <x:c r="W399" s="25"/>
      <x:c r="X399" s="25"/>
      <x:c r="Y399" s="25"/>
      <x:c r="Z399" s="25"/>
    </x:row>
    <x:row r="400">
      <x:c r="A400" s="25"/>
      <x:c r="B400" s="25"/>
      <x:c r="C400" s="25"/>
      <x:c r="D400" s="25"/>
      <x:c r="E400" s="25"/>
      <x:c r="F400" s="25"/>
      <x:c r="G400" s="25"/>
      <x:c r="H400" s="25"/>
      <x:c r="I400" s="25"/>
      <x:c r="J400" s="25"/>
      <x:c r="K400" s="25"/>
      <x:c r="L400" s="25"/>
      <x:c r="M400" s="25"/>
      <x:c r="N400" s="25"/>
      <x:c r="O400" s="25"/>
      <x:c r="P400" s="25"/>
      <x:c r="Q400" s="25"/>
      <x:c r="R400" s="25"/>
      <x:c r="S400" s="25"/>
      <x:c r="T400" s="25"/>
      <x:c r="U400" s="25"/>
      <x:c r="V400" s="25"/>
      <x:c r="W400" s="25"/>
      <x:c r="X400" s="25"/>
      <x:c r="Y400" s="25"/>
      <x:c r="Z400" s="25"/>
    </x:row>
    <x:row r="401">
      <x:c r="A401" s="25"/>
      <x:c r="B401" s="25"/>
      <x:c r="C401" s="25"/>
      <x:c r="D401" s="25"/>
      <x:c r="E401" s="25"/>
      <x:c r="F401" s="25"/>
      <x:c r="G401" s="25"/>
      <x:c r="H401" s="25"/>
      <x:c r="I401" s="25"/>
      <x:c r="J401" s="25"/>
      <x:c r="K401" s="25"/>
      <x:c r="L401" s="25"/>
      <x:c r="M401" s="25"/>
      <x:c r="N401" s="25"/>
      <x:c r="O401" s="25"/>
      <x:c r="P401" s="25"/>
      <x:c r="Q401" s="25"/>
      <x:c r="R401" s="25"/>
      <x:c r="S401" s="25"/>
      <x:c r="T401" s="25"/>
      <x:c r="U401" s="25"/>
      <x:c r="V401" s="25"/>
      <x:c r="W401" s="25"/>
      <x:c r="X401" s="25"/>
      <x:c r="Y401" s="25"/>
      <x:c r="Z401" s="25"/>
    </x:row>
    <x:row r="402">
      <x:c r="A402" s="25"/>
      <x:c r="B402" s="25"/>
      <x:c r="C402" s="25"/>
      <x:c r="D402" s="25"/>
      <x:c r="E402" s="25"/>
      <x:c r="F402" s="25"/>
      <x:c r="G402" s="25"/>
      <x:c r="H402" s="25"/>
      <x:c r="I402" s="25"/>
      <x:c r="J402" s="25"/>
      <x:c r="K402" s="25"/>
      <x:c r="L402" s="25"/>
      <x:c r="M402" s="25"/>
      <x:c r="N402" s="25"/>
      <x:c r="O402" s="25"/>
      <x:c r="P402" s="25"/>
      <x:c r="Q402" s="25"/>
      <x:c r="R402" s="25"/>
      <x:c r="S402" s="25"/>
      <x:c r="T402" s="25"/>
      <x:c r="U402" s="25"/>
      <x:c r="V402" s="25"/>
      <x:c r="W402" s="25"/>
      <x:c r="X402" s="25"/>
      <x:c r="Y402" s="25"/>
      <x:c r="Z402" s="25"/>
    </x:row>
    <x:row r="403">
      <x:c r="A403" s="25"/>
      <x:c r="B403" s="25"/>
      <x:c r="C403" s="25"/>
      <x:c r="D403" s="25"/>
      <x:c r="E403" s="25"/>
      <x:c r="F403" s="25"/>
      <x:c r="G403" s="25"/>
      <x:c r="H403" s="25"/>
      <x:c r="I403" s="25"/>
      <x:c r="J403" s="25"/>
      <x:c r="K403" s="25"/>
      <x:c r="L403" s="25"/>
      <x:c r="M403" s="25"/>
      <x:c r="N403" s="25"/>
      <x:c r="O403" s="25"/>
      <x:c r="P403" s="25"/>
      <x:c r="Q403" s="25"/>
      <x:c r="R403" s="25"/>
      <x:c r="S403" s="25"/>
      <x:c r="T403" s="25"/>
      <x:c r="U403" s="25"/>
      <x:c r="V403" s="25"/>
      <x:c r="W403" s="25"/>
      <x:c r="X403" s="25"/>
      <x:c r="Y403" s="25"/>
      <x:c r="Z403" s="25"/>
    </x:row>
    <x:row r="404">
      <x:c r="A404" s="25"/>
      <x:c r="B404" s="25"/>
      <x:c r="C404" s="25"/>
      <x:c r="D404" s="25"/>
      <x:c r="E404" s="25"/>
      <x:c r="F404" s="25"/>
      <x:c r="G404" s="25"/>
      <x:c r="H404" s="25"/>
      <x:c r="I404" s="25"/>
      <x:c r="J404" s="25"/>
      <x:c r="K404" s="25"/>
      <x:c r="L404" s="25"/>
      <x:c r="M404" s="25"/>
      <x:c r="N404" s="25"/>
      <x:c r="O404" s="25"/>
      <x:c r="P404" s="25"/>
      <x:c r="Q404" s="25"/>
      <x:c r="R404" s="25"/>
      <x:c r="S404" s="25"/>
      <x:c r="T404" s="25"/>
      <x:c r="U404" s="25"/>
      <x:c r="V404" s="25"/>
      <x:c r="W404" s="25"/>
      <x:c r="X404" s="25"/>
      <x:c r="Y404" s="25"/>
      <x:c r="Z404" s="25"/>
    </x:row>
    <x:row r="405">
      <x:c r="A405" s="25"/>
      <x:c r="B405" s="25"/>
      <x:c r="C405" s="25"/>
      <x:c r="D405" s="25"/>
      <x:c r="E405" s="25"/>
      <x:c r="F405" s="25"/>
      <x:c r="G405" s="25"/>
      <x:c r="H405" s="25"/>
      <x:c r="I405" s="25"/>
      <x:c r="J405" s="25"/>
      <x:c r="K405" s="25"/>
      <x:c r="L405" s="25"/>
      <x:c r="M405" s="25"/>
      <x:c r="N405" s="25"/>
      <x:c r="O405" s="25"/>
      <x:c r="P405" s="25"/>
      <x:c r="Q405" s="25"/>
      <x:c r="R405" s="25"/>
      <x:c r="S405" s="25"/>
      <x:c r="T405" s="25"/>
      <x:c r="U405" s="25"/>
      <x:c r="V405" s="25"/>
      <x:c r="W405" s="25"/>
      <x:c r="X405" s="25"/>
      <x:c r="Y405" s="25"/>
      <x:c r="Z405" s="25"/>
    </x:row>
    <x:row r="406">
      <x:c r="A406" s="25"/>
      <x:c r="B406" s="25"/>
      <x:c r="C406" s="25"/>
      <x:c r="D406" s="25"/>
      <x:c r="E406" s="25"/>
      <x:c r="F406" s="25"/>
      <x:c r="G406" s="25"/>
      <x:c r="H406" s="25"/>
      <x:c r="I406" s="25"/>
      <x:c r="J406" s="25"/>
      <x:c r="K406" s="25"/>
      <x:c r="L406" s="25"/>
      <x:c r="M406" s="25"/>
      <x:c r="N406" s="25"/>
      <x:c r="O406" s="25"/>
      <x:c r="P406" s="25"/>
      <x:c r="Q406" s="25"/>
      <x:c r="R406" s="25"/>
      <x:c r="S406" s="25"/>
      <x:c r="T406" s="25"/>
      <x:c r="U406" s="25"/>
      <x:c r="V406" s="25"/>
      <x:c r="W406" s="25"/>
      <x:c r="X406" s="25"/>
      <x:c r="Y406" s="25"/>
      <x:c r="Z406" s="25"/>
    </x:row>
    <x:row r="407">
      <x:c r="A407" s="25"/>
      <x:c r="B407" s="25"/>
      <x:c r="C407" s="25"/>
      <x:c r="D407" s="25"/>
      <x:c r="E407" s="25"/>
      <x:c r="F407" s="25"/>
      <x:c r="G407" s="25"/>
      <x:c r="H407" s="25"/>
      <x:c r="I407" s="25"/>
      <x:c r="J407" s="25"/>
      <x:c r="K407" s="25"/>
      <x:c r="L407" s="25"/>
      <x:c r="M407" s="25"/>
      <x:c r="N407" s="25"/>
      <x:c r="O407" s="25"/>
      <x:c r="P407" s="25"/>
      <x:c r="Q407" s="25"/>
      <x:c r="R407" s="25"/>
      <x:c r="S407" s="25"/>
      <x:c r="T407" s="25"/>
      <x:c r="U407" s="25"/>
      <x:c r="V407" s="25"/>
      <x:c r="W407" s="25"/>
      <x:c r="X407" s="25"/>
      <x:c r="Y407" s="25"/>
      <x:c r="Z407" s="25"/>
    </x:row>
    <x:row r="408">
      <x:c r="A408" s="25"/>
      <x:c r="B408" s="25"/>
      <x:c r="C408" s="25"/>
      <x:c r="D408" s="25"/>
      <x:c r="E408" s="25"/>
      <x:c r="F408" s="25"/>
      <x:c r="G408" s="25"/>
      <x:c r="H408" s="25"/>
      <x:c r="I408" s="25"/>
      <x:c r="J408" s="25"/>
      <x:c r="K408" s="25"/>
      <x:c r="L408" s="25"/>
      <x:c r="M408" s="25"/>
      <x:c r="N408" s="25"/>
      <x:c r="O408" s="25"/>
      <x:c r="P408" s="25"/>
      <x:c r="Q408" s="25"/>
      <x:c r="R408" s="25"/>
      <x:c r="S408" s="25"/>
      <x:c r="T408" s="25"/>
      <x:c r="U408" s="25"/>
      <x:c r="V408" s="25"/>
      <x:c r="W408" s="25"/>
      <x:c r="X408" s="25"/>
      <x:c r="Y408" s="25"/>
      <x:c r="Z408" s="25"/>
    </x:row>
    <x:row r="409">
      <x:c r="A409" s="25"/>
      <x:c r="B409" s="25"/>
      <x:c r="C409" s="25"/>
      <x:c r="D409" s="25"/>
      <x:c r="E409" s="25"/>
      <x:c r="F409" s="25"/>
      <x:c r="G409" s="25"/>
      <x:c r="H409" s="25"/>
      <x:c r="I409" s="25"/>
      <x:c r="J409" s="25"/>
      <x:c r="K409" s="25"/>
      <x:c r="L409" s="25"/>
      <x:c r="M409" s="25"/>
      <x:c r="N409" s="25"/>
      <x:c r="O409" s="25"/>
      <x:c r="P409" s="25"/>
      <x:c r="Q409" s="25"/>
      <x:c r="R409" s="25"/>
      <x:c r="S409" s="25"/>
      <x:c r="T409" s="25"/>
      <x:c r="U409" s="25"/>
      <x:c r="V409" s="25"/>
      <x:c r="W409" s="25"/>
      <x:c r="X409" s="25"/>
      <x:c r="Y409" s="25"/>
      <x:c r="Z409" s="25"/>
    </x:row>
    <x:row r="410">
      <x:c r="A410" s="25"/>
      <x:c r="B410" s="25"/>
      <x:c r="C410" s="25"/>
      <x:c r="D410" s="25"/>
      <x:c r="E410" s="25"/>
      <x:c r="F410" s="25"/>
      <x:c r="G410" s="25"/>
      <x:c r="H410" s="25"/>
      <x:c r="I410" s="25"/>
      <x:c r="J410" s="25"/>
      <x:c r="K410" s="25"/>
      <x:c r="L410" s="25"/>
      <x:c r="M410" s="25"/>
      <x:c r="N410" s="25"/>
      <x:c r="O410" s="25"/>
      <x:c r="P410" s="25"/>
      <x:c r="Q410" s="25"/>
      <x:c r="R410" s="25"/>
      <x:c r="S410" s="25"/>
      <x:c r="T410" s="25"/>
      <x:c r="U410" s="25"/>
      <x:c r="V410" s="25"/>
      <x:c r="W410" s="25"/>
      <x:c r="X410" s="25"/>
      <x:c r="Y410" s="25"/>
      <x:c r="Z410" s="25"/>
    </x:row>
    <x:row r="411">
      <x:c r="A411" s="25"/>
      <x:c r="B411" s="25"/>
      <x:c r="C411" s="25"/>
      <x:c r="D411" s="25"/>
      <x:c r="E411" s="25"/>
      <x:c r="F411" s="25"/>
      <x:c r="G411" s="25"/>
      <x:c r="H411" s="25"/>
      <x:c r="I411" s="25"/>
      <x:c r="J411" s="25"/>
      <x:c r="K411" s="25"/>
      <x:c r="L411" s="25"/>
      <x:c r="M411" s="25"/>
      <x:c r="N411" s="25"/>
      <x:c r="O411" s="25"/>
      <x:c r="P411" s="25"/>
      <x:c r="Q411" s="25"/>
      <x:c r="R411" s="25"/>
      <x:c r="S411" s="25"/>
      <x:c r="T411" s="25"/>
      <x:c r="U411" s="25"/>
      <x:c r="V411" s="25"/>
      <x:c r="W411" s="25"/>
      <x:c r="X411" s="25"/>
      <x:c r="Y411" s="25"/>
      <x:c r="Z411" s="25"/>
    </x:row>
    <x:row r="412">
      <x:c r="A412" s="25"/>
      <x:c r="B412" s="25"/>
      <x:c r="C412" s="25"/>
      <x:c r="D412" s="25"/>
      <x:c r="E412" s="25"/>
      <x:c r="F412" s="25"/>
      <x:c r="G412" s="25"/>
      <x:c r="H412" s="25"/>
      <x:c r="I412" s="25"/>
      <x:c r="J412" s="25"/>
      <x:c r="K412" s="25"/>
      <x:c r="L412" s="25"/>
      <x:c r="M412" s="25"/>
      <x:c r="N412" s="25"/>
      <x:c r="O412" s="25"/>
      <x:c r="P412" s="25"/>
      <x:c r="Q412" s="25"/>
      <x:c r="R412" s="25"/>
      <x:c r="S412" s="25"/>
      <x:c r="T412" s="25"/>
      <x:c r="U412" s="25"/>
      <x:c r="V412" s="25"/>
      <x:c r="W412" s="25"/>
      <x:c r="X412" s="25"/>
      <x:c r="Y412" s="25"/>
      <x:c r="Z412" s="25"/>
    </x:row>
    <x:row r="413">
      <x:c r="A413" s="25"/>
      <x:c r="B413" s="25"/>
      <x:c r="C413" s="25"/>
      <x:c r="D413" s="25"/>
      <x:c r="E413" s="25"/>
      <x:c r="F413" s="25"/>
      <x:c r="G413" s="25"/>
      <x:c r="H413" s="25"/>
      <x:c r="I413" s="25"/>
      <x:c r="J413" s="25"/>
      <x:c r="K413" s="25"/>
      <x:c r="L413" s="25"/>
      <x:c r="M413" s="25"/>
      <x:c r="N413" s="25"/>
      <x:c r="O413" s="25"/>
      <x:c r="P413" s="25"/>
      <x:c r="Q413" s="25"/>
      <x:c r="R413" s="25"/>
      <x:c r="S413" s="25"/>
      <x:c r="T413" s="25"/>
      <x:c r="U413" s="25"/>
      <x:c r="V413" s="25"/>
      <x:c r="W413" s="25"/>
      <x:c r="X413" s="25"/>
      <x:c r="Y413" s="25"/>
      <x:c r="Z413" s="25"/>
    </x:row>
    <x:row r="414">
      <x:c r="A414" s="25"/>
      <x:c r="B414" s="25"/>
      <x:c r="C414" s="25"/>
      <x:c r="D414" s="25"/>
      <x:c r="E414" s="25"/>
      <x:c r="F414" s="25"/>
      <x:c r="G414" s="25"/>
      <x:c r="H414" s="25"/>
      <x:c r="I414" s="25"/>
      <x:c r="J414" s="25"/>
      <x:c r="K414" s="25"/>
      <x:c r="L414" s="25"/>
      <x:c r="M414" s="25"/>
      <x:c r="N414" s="25"/>
      <x:c r="O414" s="25"/>
      <x:c r="P414" s="25"/>
      <x:c r="Q414" s="25"/>
      <x:c r="R414" s="25"/>
      <x:c r="S414" s="25"/>
      <x:c r="T414" s="25"/>
      <x:c r="U414" s="25"/>
      <x:c r="V414" s="25"/>
      <x:c r="W414" s="25"/>
      <x:c r="X414" s="25"/>
      <x:c r="Y414" s="25"/>
      <x:c r="Z414" s="25"/>
    </x:row>
    <x:row r="415">
      <x:c r="A415" s="25"/>
      <x:c r="B415" s="25"/>
      <x:c r="C415" s="25"/>
      <x:c r="D415" s="25"/>
      <x:c r="E415" s="25"/>
      <x:c r="F415" s="25"/>
      <x:c r="G415" s="25"/>
      <x:c r="H415" s="25"/>
      <x:c r="I415" s="25"/>
      <x:c r="J415" s="25"/>
      <x:c r="K415" s="25"/>
      <x:c r="L415" s="25"/>
      <x:c r="M415" s="25"/>
      <x:c r="N415" s="25"/>
      <x:c r="O415" s="25"/>
      <x:c r="P415" s="25"/>
      <x:c r="Q415" s="25"/>
      <x:c r="R415" s="25"/>
      <x:c r="S415" s="25"/>
      <x:c r="T415" s="25"/>
      <x:c r="U415" s="25"/>
      <x:c r="V415" s="25"/>
      <x:c r="W415" s="25"/>
      <x:c r="X415" s="25"/>
      <x:c r="Y415" s="25"/>
      <x:c r="Z415" s="25"/>
    </x:row>
    <x:row r="416">
      <x:c r="A416" s="25"/>
      <x:c r="B416" s="25"/>
      <x:c r="C416" s="25"/>
      <x:c r="D416" s="25"/>
      <x:c r="E416" s="25"/>
      <x:c r="F416" s="25"/>
      <x:c r="G416" s="25"/>
      <x:c r="H416" s="25"/>
      <x:c r="I416" s="25"/>
      <x:c r="J416" s="25"/>
      <x:c r="K416" s="25"/>
      <x:c r="L416" s="25"/>
      <x:c r="M416" s="25"/>
      <x:c r="N416" s="25"/>
      <x:c r="O416" s="25"/>
      <x:c r="P416" s="25"/>
      <x:c r="Q416" s="25"/>
      <x:c r="R416" s="25"/>
      <x:c r="S416" s="25"/>
      <x:c r="T416" s="25"/>
      <x:c r="U416" s="25"/>
      <x:c r="V416" s="25"/>
      <x:c r="W416" s="25"/>
      <x:c r="X416" s="25"/>
      <x:c r="Y416" s="25"/>
      <x:c r="Z416" s="25"/>
    </x:row>
    <x:row r="417">
      <x:c r="A417" s="25"/>
      <x:c r="B417" s="25"/>
      <x:c r="C417" s="25"/>
      <x:c r="D417" s="25"/>
      <x:c r="E417" s="25"/>
      <x:c r="F417" s="25"/>
      <x:c r="G417" s="25"/>
      <x:c r="H417" s="25"/>
      <x:c r="I417" s="25"/>
      <x:c r="J417" s="25"/>
      <x:c r="K417" s="25"/>
      <x:c r="L417" s="25"/>
      <x:c r="M417" s="25"/>
      <x:c r="N417" s="25"/>
      <x:c r="O417" s="25"/>
      <x:c r="P417" s="25"/>
      <x:c r="Q417" s="25"/>
      <x:c r="R417" s="25"/>
      <x:c r="S417" s="25"/>
      <x:c r="T417" s="25"/>
      <x:c r="U417" s="25"/>
      <x:c r="V417" s="25"/>
      <x:c r="W417" s="25"/>
      <x:c r="X417" s="25"/>
      <x:c r="Y417" s="25"/>
      <x:c r="Z417" s="25"/>
    </x:row>
    <x:row r="418">
      <x:c r="A418" s="25"/>
      <x:c r="B418" s="25"/>
      <x:c r="C418" s="25"/>
      <x:c r="D418" s="25"/>
      <x:c r="E418" s="25"/>
      <x:c r="F418" s="25"/>
      <x:c r="G418" s="25"/>
      <x:c r="H418" s="25"/>
      <x:c r="I418" s="25"/>
      <x:c r="J418" s="25"/>
      <x:c r="K418" s="25"/>
      <x:c r="L418" s="25"/>
      <x:c r="M418" s="25"/>
      <x:c r="N418" s="25"/>
      <x:c r="O418" s="25"/>
      <x:c r="P418" s="25"/>
      <x:c r="Q418" s="25"/>
      <x:c r="R418" s="25"/>
      <x:c r="S418" s="25"/>
      <x:c r="T418" s="25"/>
      <x:c r="U418" s="25"/>
      <x:c r="V418" s="25"/>
      <x:c r="W418" s="25"/>
      <x:c r="X418" s="25"/>
      <x:c r="Y418" s="25"/>
      <x:c r="Z418" s="25"/>
    </x:row>
    <x:row r="419">
      <x:c r="A419" s="25"/>
      <x:c r="B419" s="25"/>
      <x:c r="C419" s="25"/>
      <x:c r="D419" s="25"/>
      <x:c r="E419" s="25"/>
      <x:c r="F419" s="25"/>
      <x:c r="G419" s="25"/>
      <x:c r="H419" s="25"/>
      <x:c r="I419" s="25"/>
      <x:c r="J419" s="25"/>
      <x:c r="K419" s="25"/>
      <x:c r="L419" s="25"/>
      <x:c r="M419" s="25"/>
      <x:c r="N419" s="25"/>
      <x:c r="O419" s="25"/>
      <x:c r="P419" s="25"/>
      <x:c r="Q419" s="25"/>
      <x:c r="R419" s="25"/>
      <x:c r="S419" s="25"/>
      <x:c r="T419" s="25"/>
      <x:c r="U419" s="25"/>
      <x:c r="V419" s="25"/>
      <x:c r="W419" s="25"/>
      <x:c r="X419" s="25"/>
      <x:c r="Y419" s="25"/>
      <x:c r="Z419" s="25"/>
    </x:row>
    <x:row r="420">
      <x:c r="A420" s="25"/>
      <x:c r="B420" s="25"/>
      <x:c r="C420" s="25"/>
      <x:c r="D420" s="25"/>
      <x:c r="E420" s="25"/>
      <x:c r="F420" s="25"/>
      <x:c r="G420" s="25"/>
      <x:c r="H420" s="25"/>
      <x:c r="I420" s="25"/>
      <x:c r="J420" s="25"/>
      <x:c r="K420" s="25"/>
      <x:c r="L420" s="25"/>
      <x:c r="M420" s="25"/>
      <x:c r="N420" s="25"/>
      <x:c r="O420" s="25"/>
      <x:c r="P420" s="25"/>
      <x:c r="Q420" s="25"/>
      <x:c r="R420" s="25"/>
      <x:c r="S420" s="25"/>
      <x:c r="T420" s="25"/>
      <x:c r="U420" s="25"/>
      <x:c r="V420" s="25"/>
      <x:c r="W420" s="25"/>
      <x:c r="X420" s="25"/>
      <x:c r="Y420" s="25"/>
      <x:c r="Z420" s="25"/>
    </x:row>
    <x:row r="421">
      <x:c r="A421" s="25"/>
      <x:c r="B421" s="25"/>
      <x:c r="C421" s="25"/>
      <x:c r="D421" s="25"/>
      <x:c r="E421" s="25"/>
      <x:c r="F421" s="25"/>
      <x:c r="G421" s="25"/>
      <x:c r="H421" s="25"/>
      <x:c r="I421" s="25"/>
      <x:c r="J421" s="25"/>
      <x:c r="K421" s="25"/>
      <x:c r="L421" s="25"/>
      <x:c r="M421" s="25"/>
      <x:c r="N421" s="25"/>
      <x:c r="O421" s="25"/>
      <x:c r="P421" s="25"/>
      <x:c r="Q421" s="25"/>
      <x:c r="R421" s="25"/>
      <x:c r="S421" s="25"/>
      <x:c r="T421" s="25"/>
      <x:c r="U421" s="25"/>
      <x:c r="V421" s="25"/>
      <x:c r="W421" s="25"/>
      <x:c r="X421" s="25"/>
      <x:c r="Y421" s="25"/>
      <x:c r="Z421" s="25"/>
    </x:row>
    <x:row r="422">
      <x:c r="A422" s="25"/>
      <x:c r="B422" s="25"/>
      <x:c r="C422" s="25"/>
      <x:c r="D422" s="25"/>
      <x:c r="E422" s="25"/>
      <x:c r="F422" s="25"/>
      <x:c r="G422" s="25"/>
      <x:c r="H422" s="25"/>
      <x:c r="I422" s="25"/>
      <x:c r="J422" s="25"/>
      <x:c r="K422" s="25"/>
      <x:c r="L422" s="25"/>
      <x:c r="M422" s="25"/>
      <x:c r="N422" s="25"/>
      <x:c r="O422" s="25"/>
      <x:c r="P422" s="25"/>
      <x:c r="Q422" s="25"/>
      <x:c r="R422" s="25"/>
      <x:c r="S422" s="25"/>
      <x:c r="T422" s="25"/>
      <x:c r="U422" s="25"/>
      <x:c r="V422" s="25"/>
      <x:c r="W422" s="25"/>
      <x:c r="X422" s="25"/>
      <x:c r="Y422" s="25"/>
      <x:c r="Z422" s="25"/>
    </x:row>
    <x:row r="423">
      <x:c r="A423" s="25"/>
      <x:c r="B423" s="25"/>
      <x:c r="C423" s="25"/>
      <x:c r="D423" s="25"/>
      <x:c r="E423" s="25"/>
      <x:c r="F423" s="25"/>
      <x:c r="G423" s="25"/>
      <x:c r="H423" s="25"/>
      <x:c r="I423" s="25"/>
      <x:c r="J423" s="25"/>
      <x:c r="K423" s="25"/>
      <x:c r="L423" s="25"/>
      <x:c r="M423" s="25"/>
      <x:c r="N423" s="25"/>
      <x:c r="O423" s="25"/>
      <x:c r="P423" s="25"/>
      <x:c r="Q423" s="25"/>
      <x:c r="R423" s="25"/>
      <x:c r="S423" s="25"/>
      <x:c r="T423" s="25"/>
      <x:c r="U423" s="25"/>
      <x:c r="V423" s="25"/>
      <x:c r="W423" s="25"/>
      <x:c r="X423" s="25"/>
      <x:c r="Y423" s="25"/>
      <x:c r="Z423" s="25"/>
    </x:row>
    <x:row r="424">
      <x:c r="A424" s="25"/>
      <x:c r="B424" s="25"/>
      <x:c r="C424" s="25"/>
      <x:c r="D424" s="25"/>
      <x:c r="E424" s="25"/>
      <x:c r="F424" s="25"/>
      <x:c r="G424" s="25"/>
      <x:c r="H424" s="25"/>
      <x:c r="I424" s="25"/>
      <x:c r="J424" s="25"/>
      <x:c r="K424" s="25"/>
      <x:c r="L424" s="25"/>
      <x:c r="M424" s="25"/>
      <x:c r="N424" s="25"/>
      <x:c r="O424" s="25"/>
      <x:c r="P424" s="25"/>
      <x:c r="Q424" s="25"/>
      <x:c r="R424" s="25"/>
      <x:c r="S424" s="25"/>
      <x:c r="T424" s="25"/>
      <x:c r="U424" s="25"/>
      <x:c r="V424" s="25"/>
      <x:c r="W424" s="25"/>
      <x:c r="X424" s="25"/>
      <x:c r="Y424" s="25"/>
      <x:c r="Z424" s="25"/>
    </x:row>
    <x:row r="425">
      <x:c r="A425" s="25"/>
      <x:c r="B425" s="25"/>
      <x:c r="C425" s="25"/>
      <x:c r="D425" s="25"/>
      <x:c r="E425" s="25"/>
      <x:c r="F425" s="25"/>
      <x:c r="G425" s="25"/>
      <x:c r="H425" s="25"/>
      <x:c r="I425" s="25"/>
      <x:c r="J425" s="25"/>
      <x:c r="K425" s="25"/>
      <x:c r="L425" s="25"/>
      <x:c r="M425" s="25"/>
      <x:c r="N425" s="25"/>
      <x:c r="O425" s="25"/>
      <x:c r="P425" s="25"/>
      <x:c r="Q425" s="25"/>
      <x:c r="R425" s="25"/>
      <x:c r="S425" s="25"/>
      <x:c r="T425" s="25"/>
      <x:c r="U425" s="25"/>
      <x:c r="V425" s="25"/>
      <x:c r="W425" s="25"/>
      <x:c r="X425" s="25"/>
      <x:c r="Y425" s="25"/>
      <x:c r="Z425" s="25"/>
    </x:row>
    <x:row r="426">
      <x:c r="A426" s="25"/>
      <x:c r="B426" s="25"/>
      <x:c r="C426" s="25"/>
      <x:c r="D426" s="25"/>
      <x:c r="E426" s="25"/>
      <x:c r="F426" s="25"/>
      <x:c r="G426" s="25"/>
      <x:c r="H426" s="25"/>
      <x:c r="I426" s="25"/>
      <x:c r="J426" s="25"/>
      <x:c r="K426" s="25"/>
      <x:c r="L426" s="25"/>
      <x:c r="M426" s="25"/>
      <x:c r="N426" s="25"/>
      <x:c r="O426" s="25"/>
      <x:c r="P426" s="25"/>
      <x:c r="Q426" s="25"/>
      <x:c r="R426" s="25"/>
      <x:c r="S426" s="25"/>
      <x:c r="T426" s="25"/>
      <x:c r="U426" s="25"/>
      <x:c r="V426" s="25"/>
      <x:c r="W426" s="25"/>
      <x:c r="X426" s="25"/>
      <x:c r="Y426" s="25"/>
      <x:c r="Z426" s="25"/>
    </x:row>
    <x:row r="427">
      <x:c r="A427" s="25"/>
      <x:c r="B427" s="25"/>
      <x:c r="C427" s="25"/>
      <x:c r="D427" s="25"/>
      <x:c r="E427" s="25"/>
      <x:c r="F427" s="25"/>
      <x:c r="G427" s="25"/>
      <x:c r="H427" s="25"/>
      <x:c r="I427" s="25"/>
      <x:c r="J427" s="25"/>
      <x:c r="K427" s="25"/>
      <x:c r="L427" s="25"/>
      <x:c r="M427" s="25"/>
      <x:c r="N427" s="25"/>
      <x:c r="O427" s="25"/>
      <x:c r="P427" s="25"/>
      <x:c r="Q427" s="25"/>
      <x:c r="R427" s="25"/>
      <x:c r="S427" s="25"/>
      <x:c r="T427" s="25"/>
      <x:c r="U427" s="25"/>
      <x:c r="V427" s="25"/>
      <x:c r="W427" s="25"/>
      <x:c r="X427" s="25"/>
      <x:c r="Y427" s="25"/>
      <x:c r="Z427" s="25"/>
    </x:row>
    <x:row r="428">
      <x:c r="A428" s="25"/>
      <x:c r="B428" s="25"/>
      <x:c r="C428" s="25"/>
      <x:c r="D428" s="25"/>
      <x:c r="E428" s="25"/>
      <x:c r="F428" s="25"/>
      <x:c r="G428" s="25"/>
      <x:c r="H428" s="25"/>
      <x:c r="I428" s="25"/>
      <x:c r="J428" s="25"/>
      <x:c r="K428" s="25"/>
      <x:c r="L428" s="25"/>
      <x:c r="M428" s="25"/>
      <x:c r="N428" s="25"/>
      <x:c r="O428" s="25"/>
      <x:c r="P428" s="25"/>
      <x:c r="Q428" s="25"/>
      <x:c r="R428" s="25"/>
      <x:c r="S428" s="25"/>
      <x:c r="T428" s="25"/>
      <x:c r="U428" s="25"/>
      <x:c r="V428" s="25"/>
      <x:c r="W428" s="25"/>
      <x:c r="X428" s="25"/>
      <x:c r="Y428" s="25"/>
      <x:c r="Z428" s="25"/>
    </x:row>
    <x:row r="429">
      <x:c r="A429" s="25"/>
      <x:c r="B429" s="25"/>
      <x:c r="C429" s="25"/>
      <x:c r="D429" s="25"/>
      <x:c r="E429" s="25"/>
      <x:c r="F429" s="25"/>
      <x:c r="G429" s="25"/>
      <x:c r="H429" s="25"/>
      <x:c r="I429" s="25"/>
      <x:c r="J429" s="25"/>
      <x:c r="K429" s="25"/>
      <x:c r="L429" s="25"/>
      <x:c r="M429" s="25"/>
      <x:c r="N429" s="25"/>
      <x:c r="O429" s="25"/>
      <x:c r="P429" s="25"/>
      <x:c r="Q429" s="25"/>
      <x:c r="R429" s="25"/>
      <x:c r="S429" s="25"/>
      <x:c r="T429" s="25"/>
      <x:c r="U429" s="25"/>
      <x:c r="V429" s="25"/>
      <x:c r="W429" s="25"/>
      <x:c r="X429" s="25"/>
      <x:c r="Y429" s="25"/>
      <x:c r="Z429" s="25"/>
    </x:row>
    <x:row r="430">
      <x:c r="A430" s="25"/>
      <x:c r="B430" s="25"/>
      <x:c r="C430" s="25"/>
      <x:c r="D430" s="25"/>
      <x:c r="E430" s="25"/>
      <x:c r="F430" s="25"/>
      <x:c r="G430" s="25"/>
      <x:c r="H430" s="25"/>
      <x:c r="I430" s="25"/>
      <x:c r="J430" s="25"/>
      <x:c r="K430" s="25"/>
      <x:c r="L430" s="25"/>
      <x:c r="M430" s="25"/>
      <x:c r="N430" s="25"/>
      <x:c r="O430" s="25"/>
      <x:c r="P430" s="25"/>
      <x:c r="Q430" s="25"/>
      <x:c r="R430" s="25"/>
      <x:c r="S430" s="25"/>
      <x:c r="T430" s="25"/>
      <x:c r="U430" s="25"/>
      <x:c r="V430" s="25"/>
      <x:c r="W430" s="25"/>
      <x:c r="X430" s="25"/>
      <x:c r="Y430" s="25"/>
      <x:c r="Z430" s="25"/>
    </x:row>
    <x:row r="431">
      <x:c r="A431" s="25"/>
      <x:c r="B431" s="25"/>
      <x:c r="C431" s="25"/>
      <x:c r="D431" s="25"/>
      <x:c r="E431" s="25"/>
      <x:c r="F431" s="25"/>
      <x:c r="G431" s="25"/>
      <x:c r="H431" s="25"/>
      <x:c r="I431" s="25"/>
      <x:c r="J431" s="25"/>
      <x:c r="K431" s="25"/>
      <x:c r="L431" s="25"/>
      <x:c r="M431" s="25"/>
      <x:c r="N431" s="25"/>
      <x:c r="O431" s="25"/>
      <x:c r="P431" s="25"/>
      <x:c r="Q431" s="25"/>
      <x:c r="R431" s="25"/>
      <x:c r="S431" s="25"/>
      <x:c r="T431" s="25"/>
      <x:c r="U431" s="25"/>
      <x:c r="V431" s="25"/>
      <x:c r="W431" s="25"/>
      <x:c r="X431" s="25"/>
      <x:c r="Y431" s="25"/>
      <x:c r="Z431" s="25"/>
    </x:row>
    <x:row r="432">
      <x:c r="A432" s="25"/>
      <x:c r="B432" s="25"/>
      <x:c r="C432" s="25"/>
      <x:c r="D432" s="25"/>
      <x:c r="E432" s="25"/>
      <x:c r="F432" s="25"/>
      <x:c r="G432" s="25"/>
      <x:c r="H432" s="25"/>
      <x:c r="I432" s="25"/>
      <x:c r="J432" s="25"/>
      <x:c r="K432" s="25"/>
      <x:c r="L432" s="25"/>
      <x:c r="M432" s="25"/>
      <x:c r="N432" s="25"/>
      <x:c r="O432" s="25"/>
      <x:c r="P432" s="25"/>
      <x:c r="Q432" s="25"/>
      <x:c r="R432" s="25"/>
      <x:c r="S432" s="25"/>
      <x:c r="T432" s="25"/>
      <x:c r="U432" s="25"/>
      <x:c r="V432" s="25"/>
      <x:c r="W432" s="25"/>
      <x:c r="X432" s="25"/>
      <x:c r="Y432" s="25"/>
      <x:c r="Z432" s="25"/>
    </x:row>
    <x:row r="433">
      <x:c r="A433" s="25"/>
      <x:c r="B433" s="25"/>
      <x:c r="C433" s="25"/>
      <x:c r="D433" s="25"/>
      <x:c r="E433" s="25"/>
      <x:c r="F433" s="25"/>
      <x:c r="G433" s="25"/>
      <x:c r="H433" s="25"/>
      <x:c r="I433" s="25"/>
      <x:c r="J433" s="25"/>
      <x:c r="K433" s="25"/>
      <x:c r="L433" s="25"/>
      <x:c r="M433" s="25"/>
      <x:c r="N433" s="25"/>
      <x:c r="O433" s="25"/>
      <x:c r="P433" s="25"/>
      <x:c r="Q433" s="25"/>
      <x:c r="R433" s="25"/>
      <x:c r="S433" s="25"/>
      <x:c r="T433" s="25"/>
      <x:c r="U433" s="25"/>
      <x:c r="V433" s="25"/>
      <x:c r="W433" s="25"/>
      <x:c r="X433" s="25"/>
      <x:c r="Y433" s="25"/>
      <x:c r="Z433" s="25"/>
    </x:row>
    <x:row r="434">
      <x:c r="A434" s="25"/>
      <x:c r="B434" s="25"/>
      <x:c r="C434" s="25"/>
      <x:c r="D434" s="25"/>
      <x:c r="E434" s="25"/>
      <x:c r="F434" s="25"/>
      <x:c r="G434" s="25"/>
      <x:c r="H434" s="25"/>
      <x:c r="I434" s="25"/>
      <x:c r="J434" s="25"/>
      <x:c r="K434" s="25"/>
      <x:c r="L434" s="25"/>
      <x:c r="M434" s="25"/>
      <x:c r="N434" s="25"/>
      <x:c r="O434" s="25"/>
      <x:c r="P434" s="25"/>
      <x:c r="Q434" s="25"/>
      <x:c r="R434" s="25"/>
      <x:c r="S434" s="25"/>
      <x:c r="T434" s="25"/>
      <x:c r="U434" s="25"/>
      <x:c r="V434" s="25"/>
      <x:c r="W434" s="25"/>
      <x:c r="X434" s="25"/>
      <x:c r="Y434" s="25"/>
      <x:c r="Z434" s="25"/>
    </x:row>
    <x:row r="435">
      <x:c r="A435" s="25"/>
      <x:c r="B435" s="25"/>
      <x:c r="C435" s="25"/>
      <x:c r="D435" s="25"/>
      <x:c r="E435" s="25"/>
      <x:c r="F435" s="25"/>
      <x:c r="G435" s="25"/>
      <x:c r="H435" s="25"/>
      <x:c r="I435" s="25"/>
      <x:c r="J435" s="25"/>
      <x:c r="K435" s="25"/>
      <x:c r="L435" s="25"/>
      <x:c r="M435" s="25"/>
      <x:c r="N435" s="25"/>
      <x:c r="O435" s="25"/>
      <x:c r="P435" s="25"/>
      <x:c r="Q435" s="25"/>
      <x:c r="R435" s="25"/>
      <x:c r="S435" s="25"/>
      <x:c r="T435" s="25"/>
      <x:c r="U435" s="25"/>
      <x:c r="V435" s="25"/>
      <x:c r="W435" s="25"/>
      <x:c r="X435" s="25"/>
      <x:c r="Y435" s="25"/>
      <x:c r="Z435" s="25"/>
    </x:row>
    <x:row r="436">
      <x:c r="A436" s="25"/>
      <x:c r="B436" s="25"/>
      <x:c r="C436" s="25"/>
      <x:c r="D436" s="25"/>
      <x:c r="E436" s="25"/>
      <x:c r="F436" s="25"/>
      <x:c r="G436" s="25"/>
      <x:c r="H436" s="25"/>
      <x:c r="I436" s="25"/>
      <x:c r="J436" s="25"/>
      <x:c r="K436" s="25"/>
      <x:c r="L436" s="25"/>
      <x:c r="M436" s="25"/>
      <x:c r="N436" s="25"/>
      <x:c r="O436" s="25"/>
      <x:c r="P436" s="25"/>
      <x:c r="Q436" s="25"/>
      <x:c r="R436" s="25"/>
      <x:c r="S436" s="25"/>
      <x:c r="T436" s="25"/>
      <x:c r="U436" s="25"/>
      <x:c r="V436" s="25"/>
      <x:c r="W436" s="25"/>
      <x:c r="X436" s="25"/>
      <x:c r="Y436" s="25"/>
      <x:c r="Z436" s="25"/>
    </x:row>
    <x:row r="437">
      <x:c r="A437" s="25"/>
      <x:c r="B437" s="25"/>
      <x:c r="C437" s="25"/>
      <x:c r="D437" s="25"/>
      <x:c r="E437" s="25"/>
      <x:c r="F437" s="25"/>
      <x:c r="G437" s="25"/>
      <x:c r="H437" s="25"/>
      <x:c r="I437" s="25"/>
      <x:c r="J437" s="25"/>
      <x:c r="K437" s="25"/>
      <x:c r="L437" s="25"/>
      <x:c r="M437" s="25"/>
      <x:c r="N437" s="25"/>
      <x:c r="O437" s="25"/>
      <x:c r="P437" s="25"/>
      <x:c r="Q437" s="25"/>
      <x:c r="R437" s="25"/>
      <x:c r="S437" s="25"/>
      <x:c r="T437" s="25"/>
      <x:c r="U437" s="25"/>
      <x:c r="V437" s="25"/>
      <x:c r="W437" s="25"/>
      <x:c r="X437" s="25"/>
      <x:c r="Y437" s="25"/>
      <x:c r="Z437" s="25"/>
    </x:row>
    <x:row r="438">
      <x:c r="A438" s="25"/>
      <x:c r="B438" s="25"/>
      <x:c r="C438" s="25"/>
      <x:c r="D438" s="25"/>
      <x:c r="E438" s="25"/>
      <x:c r="F438" s="25"/>
      <x:c r="G438" s="25"/>
      <x:c r="H438" s="25"/>
      <x:c r="I438" s="25"/>
      <x:c r="J438" s="25"/>
      <x:c r="K438" s="25"/>
      <x:c r="L438" s="25"/>
      <x:c r="M438" s="25"/>
      <x:c r="N438" s="25"/>
      <x:c r="O438" s="25"/>
      <x:c r="P438" s="25"/>
      <x:c r="Q438" s="25"/>
      <x:c r="R438" s="25"/>
      <x:c r="S438" s="25"/>
      <x:c r="T438" s="25"/>
      <x:c r="U438" s="25"/>
      <x:c r="V438" s="25"/>
      <x:c r="W438" s="25"/>
      <x:c r="X438" s="25"/>
      <x:c r="Y438" s="25"/>
      <x:c r="Z438" s="25"/>
    </x:row>
    <x:row r="439">
      <x:c r="A439" s="25"/>
      <x:c r="B439" s="25"/>
      <x:c r="C439" s="25"/>
      <x:c r="D439" s="25"/>
      <x:c r="E439" s="25"/>
      <x:c r="F439" s="25"/>
      <x:c r="G439" s="25"/>
      <x:c r="H439" s="25"/>
      <x:c r="I439" s="25"/>
      <x:c r="J439" s="25"/>
      <x:c r="K439" s="25"/>
      <x:c r="L439" s="25"/>
      <x:c r="M439" s="25"/>
      <x:c r="N439" s="25"/>
      <x:c r="O439" s="25"/>
      <x:c r="P439" s="25"/>
      <x:c r="Q439" s="25"/>
      <x:c r="R439" s="25"/>
      <x:c r="S439" s="25"/>
      <x:c r="T439" s="25"/>
      <x:c r="U439" s="25"/>
      <x:c r="V439" s="25"/>
      <x:c r="W439" s="25"/>
      <x:c r="X439" s="25"/>
      <x:c r="Y439" s="25"/>
      <x:c r="Z439" s="25"/>
    </x:row>
    <x:row r="440">
      <x:c r="A440" s="25"/>
      <x:c r="B440" s="25"/>
      <x:c r="C440" s="25"/>
      <x:c r="D440" s="25"/>
      <x:c r="E440" s="25"/>
      <x:c r="F440" s="25"/>
      <x:c r="G440" s="25"/>
      <x:c r="H440" s="25"/>
      <x:c r="I440" s="25"/>
      <x:c r="J440" s="25"/>
      <x:c r="K440" s="25"/>
      <x:c r="L440" s="25"/>
      <x:c r="M440" s="25"/>
      <x:c r="N440" s="25"/>
      <x:c r="O440" s="25"/>
      <x:c r="P440" s="25"/>
      <x:c r="Q440" s="25"/>
      <x:c r="R440" s="25"/>
      <x:c r="S440" s="25"/>
      <x:c r="T440" s="25"/>
      <x:c r="U440" s="25"/>
      <x:c r="V440" s="25"/>
      <x:c r="W440" s="25"/>
      <x:c r="X440" s="25"/>
      <x:c r="Y440" s="25"/>
      <x:c r="Z440" s="25"/>
    </x:row>
    <x:row r="441">
      <x:c r="A441" s="25"/>
      <x:c r="B441" s="25"/>
      <x:c r="C441" s="25"/>
      <x:c r="D441" s="25"/>
      <x:c r="E441" s="25"/>
      <x:c r="F441" s="25"/>
      <x:c r="G441" s="25"/>
      <x:c r="H441" s="25"/>
      <x:c r="I441" s="25"/>
      <x:c r="J441" s="25"/>
      <x:c r="K441" s="25"/>
      <x:c r="L441" s="25"/>
      <x:c r="M441" s="25"/>
      <x:c r="N441" s="25"/>
      <x:c r="O441" s="25"/>
      <x:c r="P441" s="25"/>
      <x:c r="Q441" s="25"/>
      <x:c r="R441" s="25"/>
      <x:c r="S441" s="25"/>
      <x:c r="T441" s="25"/>
      <x:c r="U441" s="25"/>
      <x:c r="V441" s="25"/>
      <x:c r="W441" s="25"/>
      <x:c r="X441" s="25"/>
      <x:c r="Y441" s="25"/>
      <x:c r="Z441" s="25"/>
    </x:row>
    <x:row r="442">
      <x:c r="A442" s="25"/>
      <x:c r="B442" s="25"/>
      <x:c r="C442" s="25"/>
      <x:c r="D442" s="25"/>
      <x:c r="E442" s="25"/>
      <x:c r="F442" s="25"/>
      <x:c r="G442" s="25"/>
      <x:c r="H442" s="25"/>
      <x:c r="I442" s="25"/>
      <x:c r="J442" s="25"/>
      <x:c r="K442" s="25"/>
      <x:c r="L442" s="25"/>
      <x:c r="M442" s="25"/>
      <x:c r="N442" s="25"/>
      <x:c r="O442" s="25"/>
      <x:c r="P442" s="25"/>
      <x:c r="Q442" s="25"/>
      <x:c r="R442" s="25"/>
      <x:c r="S442" s="25"/>
      <x:c r="T442" s="25"/>
      <x:c r="U442" s="25"/>
      <x:c r="V442" s="25"/>
      <x:c r="W442" s="25"/>
      <x:c r="X442" s="25"/>
      <x:c r="Y442" s="25"/>
      <x:c r="Z442" s="25"/>
    </x:row>
    <x:row r="443">
      <x:c r="A443" s="25"/>
      <x:c r="B443" s="25"/>
      <x:c r="C443" s="25"/>
      <x:c r="D443" s="25"/>
      <x:c r="E443" s="25"/>
      <x:c r="F443" s="25"/>
      <x:c r="G443" s="25"/>
      <x:c r="H443" s="25"/>
      <x:c r="I443" s="25"/>
      <x:c r="J443" s="25"/>
      <x:c r="K443" s="25"/>
      <x:c r="L443" s="25"/>
      <x:c r="M443" s="25"/>
      <x:c r="N443" s="25"/>
      <x:c r="O443" s="25"/>
      <x:c r="P443" s="25"/>
      <x:c r="Q443" s="25"/>
      <x:c r="R443" s="25"/>
      <x:c r="S443" s="25"/>
      <x:c r="T443" s="25"/>
      <x:c r="U443" s="25"/>
      <x:c r="V443" s="25"/>
      <x:c r="W443" s="25"/>
      <x:c r="X443" s="25"/>
      <x:c r="Y443" s="25"/>
      <x:c r="Z443" s="25"/>
    </x:row>
    <x:row r="444">
      <x:c r="A444" s="25"/>
      <x:c r="B444" s="25"/>
      <x:c r="C444" s="25"/>
      <x:c r="D444" s="25"/>
      <x:c r="E444" s="25"/>
      <x:c r="F444" s="25"/>
      <x:c r="G444" s="25"/>
      <x:c r="H444" s="25"/>
      <x:c r="I444" s="25"/>
      <x:c r="J444" s="25"/>
      <x:c r="K444" s="25"/>
      <x:c r="L444" s="25"/>
      <x:c r="M444" s="25"/>
      <x:c r="N444" s="25"/>
      <x:c r="O444" s="25"/>
      <x:c r="P444" s="25"/>
      <x:c r="Q444" s="25"/>
      <x:c r="R444" s="25"/>
      <x:c r="S444" s="25"/>
      <x:c r="T444" s="25"/>
      <x:c r="U444" s="25"/>
      <x:c r="V444" s="25"/>
      <x:c r="W444" s="25"/>
      <x:c r="X444" s="25"/>
      <x:c r="Y444" s="25"/>
      <x:c r="Z444" s="25"/>
    </x:row>
    <x:row r="445">
      <x:c r="A445" s="25"/>
      <x:c r="B445" s="25"/>
      <x:c r="C445" s="25"/>
      <x:c r="D445" s="25"/>
      <x:c r="E445" s="25"/>
      <x:c r="F445" s="25"/>
      <x:c r="G445" s="25"/>
      <x:c r="H445" s="25"/>
      <x:c r="I445" s="25"/>
      <x:c r="J445" s="25"/>
      <x:c r="K445" s="25"/>
      <x:c r="L445" s="25"/>
      <x:c r="M445" s="25"/>
      <x:c r="N445" s="25"/>
      <x:c r="O445" s="25"/>
      <x:c r="P445" s="25"/>
      <x:c r="Q445" s="25"/>
      <x:c r="R445" s="25"/>
      <x:c r="S445" s="25"/>
      <x:c r="T445" s="25"/>
      <x:c r="U445" s="25"/>
      <x:c r="V445" s="25"/>
      <x:c r="W445" s="25"/>
      <x:c r="X445" s="25"/>
      <x:c r="Y445" s="25"/>
      <x:c r="Z445" s="25"/>
    </x:row>
    <x:row r="446">
      <x:c r="A446" s="25"/>
      <x:c r="B446" s="25"/>
      <x:c r="C446" s="25"/>
      <x:c r="D446" s="25"/>
      <x:c r="E446" s="25"/>
      <x:c r="F446" s="25"/>
      <x:c r="G446" s="25"/>
      <x:c r="H446" s="25"/>
      <x:c r="I446" s="25"/>
      <x:c r="J446" s="25"/>
      <x:c r="K446" s="25"/>
      <x:c r="L446" s="25"/>
      <x:c r="M446" s="25"/>
      <x:c r="N446" s="25"/>
      <x:c r="O446" s="25"/>
      <x:c r="P446" s="25"/>
      <x:c r="Q446" s="25"/>
      <x:c r="R446" s="25"/>
      <x:c r="S446" s="25"/>
      <x:c r="T446" s="25"/>
      <x:c r="U446" s="25"/>
      <x:c r="V446" s="25"/>
      <x:c r="W446" s="25"/>
      <x:c r="X446" s="25"/>
      <x:c r="Y446" s="25"/>
      <x:c r="Z446" s="25"/>
    </x:row>
    <x:row r="447">
      <x:c r="A447" s="25"/>
      <x:c r="B447" s="25"/>
      <x:c r="C447" s="25"/>
      <x:c r="D447" s="25"/>
      <x:c r="E447" s="25"/>
      <x:c r="F447" s="25"/>
      <x:c r="G447" s="25"/>
      <x:c r="H447" s="25"/>
      <x:c r="I447" s="25"/>
      <x:c r="J447" s="25"/>
      <x:c r="K447" s="25"/>
      <x:c r="L447" s="25"/>
      <x:c r="M447" s="25"/>
      <x:c r="N447" s="25"/>
      <x:c r="O447" s="25"/>
      <x:c r="P447" s="25"/>
      <x:c r="Q447" s="25"/>
      <x:c r="R447" s="25"/>
      <x:c r="S447" s="25"/>
      <x:c r="T447" s="25"/>
      <x:c r="U447" s="25"/>
      <x:c r="V447" s="25"/>
      <x:c r="W447" s="25"/>
      <x:c r="X447" s="25"/>
      <x:c r="Y447" s="25"/>
      <x:c r="Z447" s="25"/>
    </x:row>
    <x:row r="448">
      <x:c r="A448" s="25"/>
      <x:c r="B448" s="25"/>
      <x:c r="C448" s="25"/>
      <x:c r="D448" s="25"/>
      <x:c r="E448" s="25"/>
      <x:c r="F448" s="25"/>
      <x:c r="G448" s="25"/>
      <x:c r="H448" s="25"/>
      <x:c r="I448" s="25"/>
      <x:c r="J448" s="25"/>
      <x:c r="K448" s="25"/>
      <x:c r="L448" s="25"/>
      <x:c r="M448" s="25"/>
      <x:c r="N448" s="25"/>
      <x:c r="O448" s="25"/>
      <x:c r="P448" s="25"/>
      <x:c r="Q448" s="25"/>
      <x:c r="R448" s="25"/>
      <x:c r="S448" s="25"/>
      <x:c r="T448" s="25"/>
      <x:c r="U448" s="25"/>
      <x:c r="V448" s="25"/>
      <x:c r="W448" s="25"/>
      <x:c r="X448" s="25"/>
      <x:c r="Y448" s="25"/>
      <x:c r="Z448" s="25"/>
    </x:row>
    <x:row r="449">
      <x:c r="A449" s="25"/>
      <x:c r="B449" s="25"/>
      <x:c r="C449" s="25"/>
      <x:c r="D449" s="25"/>
      <x:c r="E449" s="25"/>
      <x:c r="F449" s="25"/>
      <x:c r="G449" s="25"/>
      <x:c r="H449" s="25"/>
      <x:c r="I449" s="25"/>
      <x:c r="J449" s="25"/>
      <x:c r="K449" s="25"/>
      <x:c r="L449" s="25"/>
      <x:c r="M449" s="25"/>
      <x:c r="N449" s="25"/>
      <x:c r="O449" s="25"/>
      <x:c r="P449" s="25"/>
      <x:c r="Q449" s="25"/>
      <x:c r="R449" s="25"/>
      <x:c r="S449" s="25"/>
      <x:c r="T449" s="25"/>
      <x:c r="U449" s="25"/>
      <x:c r="V449" s="25"/>
      <x:c r="W449" s="25"/>
      <x:c r="X449" s="25"/>
      <x:c r="Y449" s="25"/>
      <x:c r="Z449" s="25"/>
    </x:row>
    <x:row r="450">
      <x:c r="A450" s="25"/>
      <x:c r="B450" s="25"/>
      <x:c r="C450" s="25"/>
      <x:c r="D450" s="25"/>
      <x:c r="E450" s="25"/>
      <x:c r="F450" s="25"/>
      <x:c r="G450" s="25"/>
      <x:c r="H450" s="25"/>
      <x:c r="I450" s="25"/>
      <x:c r="J450" s="25"/>
      <x:c r="K450" s="25"/>
      <x:c r="L450" s="25"/>
      <x:c r="M450" s="25"/>
      <x:c r="N450" s="25"/>
      <x:c r="O450" s="25"/>
      <x:c r="P450" s="25"/>
      <x:c r="Q450" s="25"/>
      <x:c r="R450" s="25"/>
      <x:c r="S450" s="25"/>
      <x:c r="T450" s="25"/>
      <x:c r="U450" s="25"/>
      <x:c r="V450" s="25"/>
      <x:c r="W450" s="25"/>
      <x:c r="X450" s="25"/>
      <x:c r="Y450" s="25"/>
      <x:c r="Z450" s="25"/>
    </x:row>
    <x:row r="451">
      <x:c r="A451" s="25"/>
      <x:c r="B451" s="25"/>
      <x:c r="C451" s="25"/>
      <x:c r="D451" s="25"/>
      <x:c r="E451" s="25"/>
      <x:c r="F451" s="25"/>
      <x:c r="G451" s="25"/>
      <x:c r="H451" s="25"/>
      <x:c r="I451" s="25"/>
      <x:c r="J451" s="25"/>
      <x:c r="K451" s="25"/>
      <x:c r="L451" s="25"/>
      <x:c r="M451" s="25"/>
      <x:c r="N451" s="25"/>
      <x:c r="O451" s="25"/>
      <x:c r="P451" s="25"/>
      <x:c r="Q451" s="25"/>
      <x:c r="R451" s="25"/>
      <x:c r="S451" s="25"/>
      <x:c r="T451" s="25"/>
      <x:c r="U451" s="25"/>
      <x:c r="V451" s="25"/>
      <x:c r="W451" s="25"/>
      <x:c r="X451" s="25"/>
      <x:c r="Y451" s="25"/>
      <x:c r="Z451" s="25"/>
    </x:row>
    <x:row r="452">
      <x:c r="A452" s="25"/>
      <x:c r="B452" s="25"/>
      <x:c r="C452" s="25"/>
      <x:c r="D452" s="25"/>
      <x:c r="E452" s="25"/>
      <x:c r="F452" s="25"/>
      <x:c r="G452" s="25"/>
      <x:c r="H452" s="25"/>
      <x:c r="I452" s="25"/>
      <x:c r="J452" s="25"/>
      <x:c r="K452" s="25"/>
      <x:c r="L452" s="25"/>
      <x:c r="M452" s="25"/>
      <x:c r="N452" s="25"/>
      <x:c r="O452" s="25"/>
      <x:c r="P452" s="25"/>
      <x:c r="Q452" s="25"/>
      <x:c r="R452" s="25"/>
      <x:c r="S452" s="25"/>
      <x:c r="T452" s="25"/>
      <x:c r="U452" s="25"/>
      <x:c r="V452" s="25"/>
      <x:c r="W452" s="25"/>
      <x:c r="X452" s="25"/>
      <x:c r="Y452" s="25"/>
      <x:c r="Z452" s="25"/>
    </x:row>
    <x:row r="453">
      <x:c r="A453" s="25"/>
      <x:c r="B453" s="25"/>
      <x:c r="C453" s="25"/>
      <x:c r="D453" s="25"/>
      <x:c r="E453" s="25"/>
      <x:c r="F453" s="25"/>
      <x:c r="G453" s="25"/>
      <x:c r="H453" s="25"/>
      <x:c r="I453" s="25"/>
      <x:c r="J453" s="25"/>
      <x:c r="K453" s="25"/>
      <x:c r="L453" s="25"/>
      <x:c r="M453" s="25"/>
      <x:c r="N453" s="25"/>
      <x:c r="O453" s="25"/>
      <x:c r="P453" s="25"/>
      <x:c r="Q453" s="25"/>
      <x:c r="R453" s="25"/>
      <x:c r="S453" s="25"/>
      <x:c r="T453" s="25"/>
      <x:c r="U453" s="25"/>
      <x:c r="V453" s="25"/>
      <x:c r="W453" s="25"/>
      <x:c r="X453" s="25"/>
      <x:c r="Y453" s="25"/>
      <x:c r="Z453" s="25"/>
    </x:row>
    <x:row r="454">
      <x:c r="A454" s="25"/>
      <x:c r="B454" s="25"/>
      <x:c r="C454" s="25"/>
      <x:c r="D454" s="25"/>
      <x:c r="E454" s="25"/>
      <x:c r="F454" s="25"/>
      <x:c r="G454" s="25"/>
      <x:c r="H454" s="25"/>
      <x:c r="I454" s="25"/>
      <x:c r="J454" s="25"/>
      <x:c r="K454" s="25"/>
      <x:c r="L454" s="25"/>
      <x:c r="M454" s="25"/>
      <x:c r="N454" s="25"/>
      <x:c r="O454" s="25"/>
      <x:c r="P454" s="25"/>
      <x:c r="Q454" s="25"/>
      <x:c r="R454" s="25"/>
      <x:c r="S454" s="25"/>
      <x:c r="T454" s="25"/>
      <x:c r="U454" s="25"/>
      <x:c r="V454" s="25"/>
      <x:c r="W454" s="25"/>
      <x:c r="X454" s="25"/>
      <x:c r="Y454" s="25"/>
      <x:c r="Z454" s="25"/>
    </x:row>
    <x:row r="455">
      <x:c r="A455" s="25"/>
      <x:c r="B455" s="25"/>
      <x:c r="C455" s="25"/>
      <x:c r="D455" s="25"/>
      <x:c r="E455" s="25"/>
      <x:c r="F455" s="25"/>
      <x:c r="G455" s="25"/>
      <x:c r="H455" s="25"/>
      <x:c r="I455" s="25"/>
      <x:c r="J455" s="25"/>
      <x:c r="K455" s="25"/>
      <x:c r="L455" s="25"/>
      <x:c r="M455" s="25"/>
      <x:c r="N455" s="25"/>
      <x:c r="O455" s="25"/>
      <x:c r="P455" s="25"/>
      <x:c r="Q455" s="25"/>
      <x:c r="R455" s="25"/>
      <x:c r="S455" s="25"/>
      <x:c r="T455" s="25"/>
      <x:c r="U455" s="25"/>
      <x:c r="V455" s="25"/>
      <x:c r="W455" s="25"/>
      <x:c r="X455" s="25"/>
      <x:c r="Y455" s="25"/>
      <x:c r="Z455" s="25"/>
    </x:row>
    <x:row r="456">
      <x:c r="A456" s="25"/>
      <x:c r="B456" s="25"/>
      <x:c r="C456" s="25"/>
      <x:c r="D456" s="25"/>
      <x:c r="E456" s="25"/>
      <x:c r="F456" s="25"/>
      <x:c r="G456" s="25"/>
      <x:c r="H456" s="25"/>
      <x:c r="I456" s="25"/>
      <x:c r="J456" s="25"/>
      <x:c r="K456" s="25"/>
      <x:c r="L456" s="25"/>
      <x:c r="M456" s="25"/>
      <x:c r="N456" s="25"/>
      <x:c r="O456" s="25"/>
      <x:c r="P456" s="25"/>
      <x:c r="Q456" s="25"/>
      <x:c r="R456" s="25"/>
      <x:c r="S456" s="25"/>
      <x:c r="T456" s="25"/>
      <x:c r="U456" s="25"/>
      <x:c r="V456" s="25"/>
      <x:c r="W456" s="25"/>
      <x:c r="X456" s="25"/>
      <x:c r="Y456" s="25"/>
      <x:c r="Z456" s="25"/>
    </x:row>
    <x:row r="457">
      <x:c r="A457" s="25"/>
      <x:c r="B457" s="25"/>
      <x:c r="C457" s="25"/>
      <x:c r="D457" s="25"/>
      <x:c r="E457" s="25"/>
      <x:c r="F457" s="25"/>
      <x:c r="G457" s="25"/>
      <x:c r="H457" s="25"/>
      <x:c r="I457" s="25"/>
      <x:c r="J457" s="25"/>
      <x:c r="K457" s="25"/>
      <x:c r="L457" s="25"/>
      <x:c r="M457" s="25"/>
      <x:c r="N457" s="25"/>
      <x:c r="O457" s="25"/>
      <x:c r="P457" s="25"/>
      <x:c r="Q457" s="25"/>
      <x:c r="R457" s="25"/>
      <x:c r="S457" s="25"/>
      <x:c r="T457" s="25"/>
      <x:c r="U457" s="25"/>
      <x:c r="V457" s="25"/>
      <x:c r="W457" s="25"/>
      <x:c r="X457" s="25"/>
      <x:c r="Y457" s="25"/>
      <x:c r="Z457" s="25"/>
    </x:row>
    <x:row r="458">
      <x:c r="A458" s="25"/>
      <x:c r="B458" s="25"/>
      <x:c r="C458" s="25"/>
      <x:c r="D458" s="25"/>
      <x:c r="E458" s="25"/>
      <x:c r="F458" s="25"/>
      <x:c r="G458" s="25"/>
      <x:c r="H458" s="25"/>
      <x:c r="I458" s="25"/>
      <x:c r="J458" s="25"/>
      <x:c r="K458" s="25"/>
      <x:c r="L458" s="25"/>
      <x:c r="M458" s="25"/>
      <x:c r="N458" s="25"/>
      <x:c r="O458" s="25"/>
      <x:c r="P458" s="25"/>
      <x:c r="Q458" s="25"/>
      <x:c r="R458" s="25"/>
      <x:c r="S458" s="25"/>
      <x:c r="T458" s="25"/>
      <x:c r="U458" s="25"/>
      <x:c r="V458" s="25"/>
      <x:c r="W458" s="25"/>
      <x:c r="X458" s="25"/>
      <x:c r="Y458" s="25"/>
      <x:c r="Z458" s="25"/>
    </x:row>
    <x:row r="459">
      <x:c r="A459" s="25"/>
      <x:c r="B459" s="25"/>
      <x:c r="C459" s="25"/>
      <x:c r="D459" s="25"/>
      <x:c r="E459" s="25"/>
      <x:c r="F459" s="25"/>
      <x:c r="G459" s="25"/>
      <x:c r="H459" s="25"/>
      <x:c r="I459" s="25"/>
      <x:c r="J459" s="25"/>
      <x:c r="K459" s="25"/>
      <x:c r="L459" s="25"/>
      <x:c r="M459" s="25"/>
      <x:c r="N459" s="25"/>
      <x:c r="O459" s="25"/>
      <x:c r="P459" s="25"/>
      <x:c r="Q459" s="25"/>
      <x:c r="R459" s="25"/>
      <x:c r="S459" s="25"/>
      <x:c r="T459" s="25"/>
      <x:c r="U459" s="25"/>
      <x:c r="V459" s="25"/>
      <x:c r="W459" s="25"/>
      <x:c r="X459" s="25"/>
      <x:c r="Y459" s="25"/>
      <x:c r="Z459" s="25"/>
    </x:row>
    <x:row r="460">
      <x:c r="A460" s="25"/>
      <x:c r="B460" s="25"/>
      <x:c r="C460" s="25"/>
      <x:c r="D460" s="25"/>
      <x:c r="E460" s="25"/>
      <x:c r="F460" s="25"/>
      <x:c r="G460" s="25"/>
      <x:c r="H460" s="25"/>
      <x:c r="I460" s="25"/>
      <x:c r="J460" s="25"/>
      <x:c r="K460" s="25"/>
      <x:c r="L460" s="25"/>
      <x:c r="M460" s="25"/>
      <x:c r="N460" s="25"/>
      <x:c r="O460" s="25"/>
      <x:c r="P460" s="25"/>
      <x:c r="Q460" s="25"/>
      <x:c r="R460" s="25"/>
      <x:c r="S460" s="25"/>
      <x:c r="T460" s="25"/>
      <x:c r="U460" s="25"/>
      <x:c r="V460" s="25"/>
      <x:c r="W460" s="25"/>
      <x:c r="X460" s="25"/>
      <x:c r="Y460" s="25"/>
      <x:c r="Z460" s="25"/>
    </x:row>
    <x:row r="461">
      <x:c r="A461" s="25"/>
      <x:c r="B461" s="25"/>
      <x:c r="C461" s="25"/>
      <x:c r="D461" s="25"/>
      <x:c r="E461" s="25"/>
      <x:c r="F461" s="25"/>
      <x:c r="G461" s="25"/>
      <x:c r="H461" s="25"/>
      <x:c r="I461" s="25"/>
      <x:c r="J461" s="25"/>
      <x:c r="K461" s="25"/>
      <x:c r="L461" s="25"/>
      <x:c r="M461" s="25"/>
      <x:c r="N461" s="25"/>
      <x:c r="O461" s="25"/>
      <x:c r="P461" s="25"/>
      <x:c r="Q461" s="25"/>
      <x:c r="R461" s="25"/>
      <x:c r="S461" s="25"/>
      <x:c r="T461" s="25"/>
      <x:c r="U461" s="25"/>
      <x:c r="V461" s="25"/>
      <x:c r="W461" s="25"/>
      <x:c r="X461" s="25"/>
      <x:c r="Y461" s="25"/>
      <x:c r="Z461" s="25"/>
    </x:row>
    <x:row r="462">
      <x:c r="A462" s="25"/>
      <x:c r="B462" s="25"/>
      <x:c r="C462" s="25"/>
      <x:c r="D462" s="25"/>
      <x:c r="E462" s="25"/>
      <x:c r="F462" s="25"/>
      <x:c r="G462" s="25"/>
      <x:c r="H462" s="25"/>
      <x:c r="I462" s="25"/>
      <x:c r="J462" s="25"/>
      <x:c r="K462" s="25"/>
      <x:c r="L462" s="25"/>
      <x:c r="M462" s="25"/>
      <x:c r="N462" s="25"/>
      <x:c r="O462" s="25"/>
      <x:c r="P462" s="25"/>
      <x:c r="Q462" s="25"/>
      <x:c r="R462" s="25"/>
      <x:c r="S462" s="25"/>
      <x:c r="T462" s="25"/>
      <x:c r="U462" s="25"/>
      <x:c r="V462" s="25"/>
      <x:c r="W462" s="25"/>
      <x:c r="X462" s="25"/>
      <x:c r="Y462" s="25"/>
      <x:c r="Z462" s="25"/>
    </x:row>
    <x:row r="463">
      <x:c r="A463" s="25"/>
      <x:c r="B463" s="25"/>
      <x:c r="C463" s="25"/>
      <x:c r="D463" s="25"/>
      <x:c r="E463" s="25"/>
      <x:c r="F463" s="25"/>
      <x:c r="G463" s="25"/>
      <x:c r="H463" s="25"/>
      <x:c r="I463" s="25"/>
      <x:c r="J463" s="25"/>
      <x:c r="K463" s="25"/>
      <x:c r="L463" s="25"/>
      <x:c r="M463" s="25"/>
      <x:c r="N463" s="25"/>
      <x:c r="O463" s="25"/>
      <x:c r="P463" s="25"/>
      <x:c r="Q463" s="25"/>
      <x:c r="R463" s="25"/>
      <x:c r="S463" s="25"/>
      <x:c r="T463" s="25"/>
      <x:c r="U463" s="25"/>
      <x:c r="V463" s="25"/>
      <x:c r="W463" s="25"/>
      <x:c r="X463" s="25"/>
      <x:c r="Y463" s="25"/>
      <x:c r="Z463" s="25"/>
    </x:row>
    <x:row r="464">
      <x:c r="A464" s="25"/>
      <x:c r="B464" s="25"/>
      <x:c r="C464" s="25"/>
      <x:c r="D464" s="25"/>
      <x:c r="E464" s="25"/>
      <x:c r="F464" s="25"/>
      <x:c r="G464" s="25"/>
      <x:c r="H464" s="25"/>
      <x:c r="I464" s="25"/>
      <x:c r="J464" s="25"/>
      <x:c r="K464" s="25"/>
      <x:c r="L464" s="25"/>
      <x:c r="M464" s="25"/>
      <x:c r="N464" s="25"/>
      <x:c r="O464" s="25"/>
      <x:c r="P464" s="25"/>
      <x:c r="Q464" s="25"/>
      <x:c r="R464" s="25"/>
      <x:c r="S464" s="25"/>
      <x:c r="T464" s="25"/>
      <x:c r="U464" s="25"/>
      <x:c r="V464" s="25"/>
      <x:c r="W464" s="25"/>
      <x:c r="X464" s="25"/>
      <x:c r="Y464" s="25"/>
      <x:c r="Z464" s="25"/>
    </x:row>
    <x:row r="465">
      <x:c r="A465" s="25"/>
      <x:c r="B465" s="25"/>
      <x:c r="C465" s="25"/>
      <x:c r="D465" s="25"/>
      <x:c r="E465" s="25"/>
      <x:c r="F465" s="25"/>
      <x:c r="G465" s="25"/>
      <x:c r="H465" s="25"/>
      <x:c r="I465" s="25"/>
      <x:c r="J465" s="25"/>
      <x:c r="K465" s="25"/>
      <x:c r="L465" s="25"/>
      <x:c r="M465" s="25"/>
      <x:c r="N465" s="25"/>
      <x:c r="O465" s="25"/>
      <x:c r="P465" s="25"/>
      <x:c r="Q465" s="25"/>
      <x:c r="R465" s="25"/>
      <x:c r="S465" s="25"/>
      <x:c r="T465" s="25"/>
      <x:c r="U465" s="25"/>
      <x:c r="V465" s="25"/>
      <x:c r="W465" s="25"/>
      <x:c r="X465" s="25"/>
      <x:c r="Y465" s="25"/>
      <x:c r="Z465" s="25"/>
    </x:row>
    <x:row r="466">
      <x:c r="A466" s="25"/>
      <x:c r="B466" s="25"/>
      <x:c r="C466" s="25"/>
      <x:c r="D466" s="25"/>
      <x:c r="E466" s="25"/>
      <x:c r="F466" s="25"/>
      <x:c r="G466" s="25"/>
      <x:c r="H466" s="25"/>
      <x:c r="I466" s="25"/>
      <x:c r="J466" s="25"/>
      <x:c r="K466" s="25"/>
      <x:c r="L466" s="25"/>
      <x:c r="M466" s="25"/>
      <x:c r="N466" s="25"/>
      <x:c r="O466" s="25"/>
      <x:c r="P466" s="25"/>
      <x:c r="Q466" s="25"/>
      <x:c r="R466" s="25"/>
      <x:c r="S466" s="25"/>
      <x:c r="T466" s="25"/>
      <x:c r="U466" s="25"/>
      <x:c r="V466" s="25"/>
      <x:c r="W466" s="25"/>
      <x:c r="X466" s="25"/>
      <x:c r="Y466" s="25"/>
      <x:c r="Z466" s="25"/>
    </x:row>
    <x:row r="467">
      <x:c r="A467" s="25"/>
      <x:c r="B467" s="25"/>
      <x:c r="C467" s="25"/>
      <x:c r="D467" s="25"/>
      <x:c r="E467" s="25"/>
      <x:c r="F467" s="25"/>
      <x:c r="G467" s="25"/>
      <x:c r="H467" s="25"/>
      <x:c r="I467" s="25"/>
      <x:c r="J467" s="25"/>
      <x:c r="K467" s="25"/>
      <x:c r="L467" s="25"/>
      <x:c r="M467" s="25"/>
      <x:c r="N467" s="25"/>
      <x:c r="O467" s="25"/>
      <x:c r="P467" s="25"/>
      <x:c r="Q467" s="25"/>
      <x:c r="R467" s="25"/>
      <x:c r="S467" s="25"/>
      <x:c r="T467" s="25"/>
      <x:c r="U467" s="25"/>
      <x:c r="V467" s="25"/>
      <x:c r="W467" s="25"/>
      <x:c r="X467" s="25"/>
      <x:c r="Y467" s="25"/>
      <x:c r="Z467" s="25"/>
    </x:row>
    <x:row r="468">
      <x:c r="A468" s="25"/>
      <x:c r="B468" s="25"/>
      <x:c r="C468" s="25"/>
      <x:c r="D468" s="25"/>
      <x:c r="E468" s="25"/>
      <x:c r="F468" s="25"/>
      <x:c r="G468" s="25"/>
      <x:c r="H468" s="25"/>
      <x:c r="I468" s="25"/>
      <x:c r="J468" s="25"/>
      <x:c r="K468" s="25"/>
      <x:c r="L468" s="25"/>
      <x:c r="M468" s="25"/>
      <x:c r="N468" s="25"/>
      <x:c r="O468" s="25"/>
      <x:c r="P468" s="25"/>
      <x:c r="Q468" s="25"/>
      <x:c r="R468" s="25"/>
      <x:c r="S468" s="25"/>
      <x:c r="T468" s="25"/>
      <x:c r="U468" s="25"/>
      <x:c r="V468" s="25"/>
      <x:c r="W468" s="25"/>
      <x:c r="X468" s="25"/>
      <x:c r="Y468" s="25"/>
      <x:c r="Z468" s="25"/>
    </x:row>
    <x:row r="469">
      <x:c r="A469" s="25"/>
      <x:c r="B469" s="25"/>
      <x:c r="C469" s="25"/>
      <x:c r="D469" s="25"/>
      <x:c r="E469" s="25"/>
      <x:c r="F469" s="25"/>
      <x:c r="G469" s="25"/>
      <x:c r="H469" s="25"/>
      <x:c r="I469" s="25"/>
      <x:c r="J469" s="25"/>
      <x:c r="K469" s="25"/>
      <x:c r="L469" s="25"/>
      <x:c r="M469" s="25"/>
      <x:c r="N469" s="25"/>
      <x:c r="O469" s="25"/>
      <x:c r="P469" s="25"/>
      <x:c r="Q469" s="25"/>
      <x:c r="R469" s="25"/>
      <x:c r="S469" s="25"/>
      <x:c r="T469" s="25"/>
      <x:c r="U469" s="25"/>
      <x:c r="V469" s="25"/>
      <x:c r="W469" s="25"/>
      <x:c r="X469" s="25"/>
      <x:c r="Y469" s="25"/>
      <x:c r="Z469" s="25"/>
    </x:row>
    <x:row r="470">
      <x:c r="A470" s="25"/>
      <x:c r="B470" s="25"/>
      <x:c r="C470" s="25"/>
      <x:c r="D470" s="25"/>
      <x:c r="E470" s="25"/>
      <x:c r="F470" s="25"/>
      <x:c r="G470" s="25"/>
      <x:c r="H470" s="25"/>
      <x:c r="I470" s="25"/>
      <x:c r="J470" s="25"/>
      <x:c r="K470" s="25"/>
      <x:c r="L470" s="25"/>
      <x:c r="M470" s="25"/>
      <x:c r="N470" s="25"/>
      <x:c r="O470" s="25"/>
      <x:c r="P470" s="25"/>
      <x:c r="Q470" s="25"/>
      <x:c r="R470" s="25"/>
      <x:c r="S470" s="25"/>
      <x:c r="T470" s="25"/>
      <x:c r="U470" s="25"/>
      <x:c r="V470" s="25"/>
      <x:c r="W470" s="25"/>
      <x:c r="X470" s="25"/>
      <x:c r="Y470" s="25"/>
      <x:c r="Z470" s="25"/>
    </x:row>
    <x:row r="471">
      <x:c r="A471" s="25"/>
      <x:c r="B471" s="25"/>
      <x:c r="C471" s="25"/>
      <x:c r="D471" s="25"/>
      <x:c r="E471" s="25"/>
      <x:c r="F471" s="25"/>
      <x:c r="G471" s="25"/>
      <x:c r="H471" s="25"/>
      <x:c r="I471" s="25"/>
      <x:c r="J471" s="25"/>
      <x:c r="K471" s="25"/>
      <x:c r="L471" s="25"/>
      <x:c r="M471" s="25"/>
      <x:c r="N471" s="25"/>
      <x:c r="O471" s="25"/>
      <x:c r="P471" s="25"/>
      <x:c r="Q471" s="25"/>
      <x:c r="R471" s="25"/>
      <x:c r="S471" s="25"/>
      <x:c r="T471" s="25"/>
      <x:c r="U471" s="25"/>
      <x:c r="V471" s="25"/>
      <x:c r="W471" s="25"/>
      <x:c r="X471" s="25"/>
      <x:c r="Y471" s="25"/>
      <x:c r="Z471" s="25"/>
    </x:row>
    <x:row r="472">
      <x:c r="A472" s="25"/>
      <x:c r="B472" s="25"/>
      <x:c r="C472" s="25"/>
      <x:c r="D472" s="25"/>
      <x:c r="E472" s="25"/>
      <x:c r="F472" s="25"/>
      <x:c r="G472" s="25"/>
      <x:c r="H472" s="25"/>
      <x:c r="I472" s="25"/>
      <x:c r="J472" s="25"/>
      <x:c r="K472" s="25"/>
      <x:c r="L472" s="25"/>
      <x:c r="M472" s="25"/>
      <x:c r="N472" s="25"/>
      <x:c r="O472" s="25"/>
      <x:c r="P472" s="25"/>
      <x:c r="Q472" s="25"/>
      <x:c r="R472" s="25"/>
      <x:c r="S472" s="25"/>
      <x:c r="T472" s="25"/>
      <x:c r="U472" s="25"/>
      <x:c r="V472" s="25"/>
      <x:c r="W472" s="25"/>
      <x:c r="X472" s="25"/>
      <x:c r="Y472" s="25"/>
      <x:c r="Z472" s="25"/>
    </x:row>
    <x:row r="473">
      <x:c r="A473" s="25"/>
      <x:c r="B473" s="25"/>
      <x:c r="C473" s="25"/>
      <x:c r="D473" s="25"/>
      <x:c r="E473" s="25"/>
      <x:c r="F473" s="25"/>
      <x:c r="G473" s="25"/>
      <x:c r="H473" s="25"/>
      <x:c r="I473" s="25"/>
      <x:c r="J473" s="25"/>
      <x:c r="K473" s="25"/>
      <x:c r="L473" s="25"/>
      <x:c r="M473" s="25"/>
      <x:c r="N473" s="25"/>
      <x:c r="O473" s="25"/>
      <x:c r="P473" s="25"/>
      <x:c r="Q473" s="25"/>
      <x:c r="R473" s="25"/>
      <x:c r="S473" s="25"/>
      <x:c r="T473" s="25"/>
      <x:c r="U473" s="25"/>
      <x:c r="V473" s="25"/>
      <x:c r="W473" s="25"/>
      <x:c r="X473" s="25"/>
      <x:c r="Y473" s="25"/>
      <x:c r="Z473" s="25"/>
    </x:row>
    <x:row r="474">
      <x:c r="A474" s="25"/>
      <x:c r="B474" s="25"/>
      <x:c r="C474" s="25"/>
      <x:c r="D474" s="25"/>
      <x:c r="E474" s="25"/>
      <x:c r="F474" s="25"/>
      <x:c r="G474" s="25"/>
      <x:c r="H474" s="25"/>
      <x:c r="I474" s="25"/>
      <x:c r="J474" s="25"/>
      <x:c r="K474" s="25"/>
      <x:c r="L474" s="25"/>
      <x:c r="M474" s="25"/>
      <x:c r="N474" s="25"/>
      <x:c r="O474" s="25"/>
      <x:c r="P474" s="25"/>
      <x:c r="Q474" s="25"/>
      <x:c r="R474" s="25"/>
      <x:c r="S474" s="25"/>
      <x:c r="T474" s="25"/>
      <x:c r="U474" s="25"/>
      <x:c r="V474" s="25"/>
      <x:c r="W474" s="25"/>
      <x:c r="X474" s="25"/>
      <x:c r="Y474" s="25"/>
      <x:c r="Z474" s="25"/>
    </x:row>
    <x:row r="475">
      <x:c r="A475" s="25"/>
      <x:c r="B475" s="25"/>
      <x:c r="C475" s="25"/>
      <x:c r="D475" s="25"/>
      <x:c r="E475" s="25"/>
      <x:c r="F475" s="25"/>
      <x:c r="G475" s="25"/>
      <x:c r="H475" s="25"/>
      <x:c r="I475" s="25"/>
      <x:c r="J475" s="25"/>
      <x:c r="K475" s="25"/>
      <x:c r="L475" s="25"/>
      <x:c r="M475" s="25"/>
      <x:c r="N475" s="25"/>
      <x:c r="O475" s="25"/>
      <x:c r="P475" s="25"/>
      <x:c r="Q475" s="25"/>
      <x:c r="R475" s="25"/>
      <x:c r="S475" s="25"/>
      <x:c r="T475" s="25"/>
      <x:c r="U475" s="25"/>
      <x:c r="V475" s="25"/>
      <x:c r="W475" s="25"/>
      <x:c r="X475" s="25"/>
      <x:c r="Y475" s="25"/>
      <x:c r="Z475" s="25"/>
    </x:row>
    <x:row r="476">
      <x:c r="A476" s="25"/>
      <x:c r="B476" s="25"/>
      <x:c r="C476" s="25"/>
      <x:c r="D476" s="25"/>
      <x:c r="E476" s="25"/>
      <x:c r="F476" s="25"/>
      <x:c r="G476" s="25"/>
      <x:c r="H476" s="25"/>
      <x:c r="I476" s="25"/>
      <x:c r="J476" s="25"/>
      <x:c r="K476" s="25"/>
      <x:c r="L476" s="25"/>
      <x:c r="M476" s="25"/>
      <x:c r="N476" s="25"/>
      <x:c r="O476" s="25"/>
      <x:c r="P476" s="25"/>
      <x:c r="Q476" s="25"/>
      <x:c r="R476" s="25"/>
      <x:c r="S476" s="25"/>
      <x:c r="T476" s="25"/>
      <x:c r="U476" s="25"/>
      <x:c r="V476" s="25"/>
      <x:c r="W476" s="25"/>
      <x:c r="X476" s="25"/>
      <x:c r="Y476" s="25"/>
      <x:c r="Z476" s="25"/>
    </x:row>
    <x:row r="477">
      <x:c r="A477" s="25"/>
      <x:c r="B477" s="25"/>
      <x:c r="C477" s="25"/>
      <x:c r="D477" s="25"/>
      <x:c r="E477" s="25"/>
      <x:c r="F477" s="25"/>
      <x:c r="G477" s="25"/>
      <x:c r="H477" s="25"/>
      <x:c r="I477" s="25"/>
      <x:c r="J477" s="25"/>
      <x:c r="K477" s="25"/>
      <x:c r="L477" s="25"/>
      <x:c r="M477" s="25"/>
      <x:c r="N477" s="25"/>
      <x:c r="O477" s="25"/>
      <x:c r="P477" s="25"/>
      <x:c r="Q477" s="25"/>
      <x:c r="R477" s="25"/>
      <x:c r="S477" s="25"/>
      <x:c r="T477" s="25"/>
      <x:c r="U477" s="25"/>
      <x:c r="V477" s="25"/>
      <x:c r="W477" s="25"/>
      <x:c r="X477" s="25"/>
      <x:c r="Y477" s="25"/>
      <x:c r="Z477" s="25"/>
    </x:row>
    <x:row r="478">
      <x:c r="A478" s="25"/>
      <x:c r="B478" s="25"/>
      <x:c r="C478" s="25"/>
      <x:c r="D478" s="25"/>
      <x:c r="E478" s="25"/>
      <x:c r="F478" s="25"/>
      <x:c r="G478" s="25"/>
      <x:c r="H478" s="25"/>
      <x:c r="I478" s="25"/>
      <x:c r="J478" s="25"/>
      <x:c r="K478" s="25"/>
      <x:c r="L478" s="25"/>
      <x:c r="M478" s="25"/>
      <x:c r="N478" s="25"/>
      <x:c r="O478" s="25"/>
      <x:c r="P478" s="25"/>
      <x:c r="Q478" s="25"/>
      <x:c r="R478" s="25"/>
      <x:c r="S478" s="25"/>
      <x:c r="T478" s="25"/>
      <x:c r="U478" s="25"/>
      <x:c r="V478" s="25"/>
      <x:c r="W478" s="25"/>
      <x:c r="X478" s="25"/>
      <x:c r="Y478" s="25"/>
      <x:c r="Z478" s="25"/>
    </x:row>
    <x:row r="479">
      <x:c r="A479" s="25"/>
      <x:c r="B479" s="25"/>
      <x:c r="C479" s="25"/>
      <x:c r="D479" s="25"/>
      <x:c r="E479" s="25"/>
      <x:c r="F479" s="25"/>
      <x:c r="G479" s="25"/>
      <x:c r="H479" s="25"/>
      <x:c r="I479" s="25"/>
      <x:c r="J479" s="25"/>
      <x:c r="K479" s="25"/>
      <x:c r="L479" s="25"/>
      <x:c r="M479" s="25"/>
      <x:c r="N479" s="25"/>
      <x:c r="O479" s="25"/>
      <x:c r="P479" s="25"/>
      <x:c r="Q479" s="25"/>
      <x:c r="R479" s="25"/>
      <x:c r="S479" s="25"/>
      <x:c r="T479" s="25"/>
      <x:c r="U479" s="25"/>
      <x:c r="V479" s="25"/>
      <x:c r="W479" s="25"/>
      <x:c r="X479" s="25"/>
      <x:c r="Y479" s="25"/>
      <x:c r="Z479" s="25"/>
    </x:row>
    <x:row r="480">
      <x:c r="A480" s="25"/>
      <x:c r="B480" s="25"/>
      <x:c r="C480" s="25"/>
      <x:c r="D480" s="25"/>
      <x:c r="E480" s="25"/>
      <x:c r="F480" s="25"/>
      <x:c r="G480" s="25"/>
      <x:c r="H480" s="25"/>
      <x:c r="I480" s="25"/>
      <x:c r="J480" s="25"/>
      <x:c r="K480" s="25"/>
      <x:c r="L480" s="25"/>
      <x:c r="M480" s="25"/>
      <x:c r="N480" s="25"/>
      <x:c r="O480" s="25"/>
      <x:c r="P480" s="25"/>
      <x:c r="Q480" s="25"/>
      <x:c r="R480" s="25"/>
      <x:c r="S480" s="25"/>
      <x:c r="T480" s="25"/>
      <x:c r="U480" s="25"/>
      <x:c r="V480" s="25"/>
      <x:c r="W480" s="25"/>
      <x:c r="X480" s="25"/>
      <x:c r="Y480" s="25"/>
      <x:c r="Z480" s="25"/>
    </x:row>
    <x:row r="481">
      <x:c r="A481" s="25"/>
      <x:c r="B481" s="25"/>
      <x:c r="C481" s="25"/>
      <x:c r="D481" s="25"/>
      <x:c r="E481" s="25"/>
      <x:c r="F481" s="25"/>
      <x:c r="G481" s="25"/>
      <x:c r="H481" s="25"/>
      <x:c r="I481" s="25"/>
      <x:c r="J481" s="25"/>
      <x:c r="K481" s="25"/>
      <x:c r="L481" s="25"/>
      <x:c r="M481" s="25"/>
      <x:c r="N481" s="25"/>
      <x:c r="O481" s="25"/>
      <x:c r="P481" s="25"/>
      <x:c r="Q481" s="25"/>
      <x:c r="R481" s="25"/>
      <x:c r="S481" s="25"/>
      <x:c r="T481" s="25"/>
      <x:c r="U481" s="25"/>
      <x:c r="V481" s="25"/>
      <x:c r="W481" s="25"/>
      <x:c r="X481" s="25"/>
      <x:c r="Y481" s="25"/>
      <x:c r="Z481" s="25"/>
    </x:row>
    <x:row r="482">
      <x:c r="A482" s="25"/>
      <x:c r="B482" s="25"/>
      <x:c r="C482" s="25"/>
      <x:c r="D482" s="25"/>
      <x:c r="E482" s="25"/>
      <x:c r="F482" s="25"/>
      <x:c r="G482" s="25"/>
      <x:c r="H482" s="25"/>
      <x:c r="I482" s="25"/>
      <x:c r="J482" s="25"/>
      <x:c r="K482" s="25"/>
      <x:c r="L482" s="25"/>
      <x:c r="M482" s="25"/>
      <x:c r="N482" s="25"/>
      <x:c r="O482" s="25"/>
      <x:c r="P482" s="25"/>
      <x:c r="Q482" s="25"/>
      <x:c r="R482" s="25"/>
      <x:c r="S482" s="25"/>
      <x:c r="T482" s="25"/>
      <x:c r="U482" s="25"/>
      <x:c r="V482" s="25"/>
      <x:c r="W482" s="25"/>
      <x:c r="X482" s="25"/>
      <x:c r="Y482" s="25"/>
      <x:c r="Z482" s="25"/>
    </x:row>
    <x:row r="483">
      <x:c r="A483" s="25"/>
      <x:c r="B483" s="25"/>
      <x:c r="C483" s="25"/>
      <x:c r="D483" s="25"/>
      <x:c r="E483" s="25"/>
      <x:c r="F483" s="25"/>
      <x:c r="G483" s="25"/>
      <x:c r="H483" s="25"/>
      <x:c r="I483" s="25"/>
      <x:c r="J483" s="25"/>
      <x:c r="K483" s="25"/>
      <x:c r="L483" s="25"/>
      <x:c r="M483" s="25"/>
      <x:c r="N483" s="25"/>
      <x:c r="O483" s="25"/>
      <x:c r="P483" s="25"/>
      <x:c r="Q483" s="25"/>
      <x:c r="R483" s="25"/>
      <x:c r="S483" s="25"/>
      <x:c r="T483" s="25"/>
      <x:c r="U483" s="25"/>
      <x:c r="V483" s="25"/>
      <x:c r="W483" s="25"/>
      <x:c r="X483" s="25"/>
      <x:c r="Y483" s="25"/>
      <x:c r="Z483" s="25"/>
    </x:row>
    <x:row r="484">
      <x:c r="A484" s="25"/>
      <x:c r="B484" s="25"/>
      <x:c r="C484" s="25"/>
      <x:c r="D484" s="25"/>
      <x:c r="E484" s="25"/>
      <x:c r="F484" s="25"/>
      <x:c r="G484" s="25"/>
      <x:c r="H484" s="25"/>
      <x:c r="I484" s="25"/>
      <x:c r="J484" s="25"/>
      <x:c r="K484" s="25"/>
      <x:c r="L484" s="25"/>
      <x:c r="M484" s="25"/>
      <x:c r="N484" s="25"/>
      <x:c r="O484" s="25"/>
      <x:c r="P484" s="25"/>
      <x:c r="Q484" s="25"/>
      <x:c r="R484" s="25"/>
      <x:c r="S484" s="25"/>
      <x:c r="T484" s="25"/>
      <x:c r="U484" s="25"/>
      <x:c r="V484" s="25"/>
      <x:c r="W484" s="25"/>
      <x:c r="X484" s="25"/>
      <x:c r="Y484" s="25"/>
      <x:c r="Z484" s="25"/>
    </x:row>
    <x:row r="485">
      <x:c r="A485" s="25"/>
      <x:c r="B485" s="25"/>
      <x:c r="C485" s="25"/>
      <x:c r="D485" s="25"/>
      <x:c r="E485" s="25"/>
      <x:c r="F485" s="25"/>
      <x:c r="G485" s="25"/>
      <x:c r="H485" s="25"/>
      <x:c r="I485" s="25"/>
      <x:c r="J485" s="25"/>
      <x:c r="K485" s="25"/>
      <x:c r="L485" s="25"/>
      <x:c r="M485" s="25"/>
      <x:c r="N485" s="25"/>
      <x:c r="O485" s="25"/>
      <x:c r="P485" s="25"/>
      <x:c r="Q485" s="25"/>
      <x:c r="R485" s="25"/>
      <x:c r="S485" s="25"/>
      <x:c r="T485" s="25"/>
      <x:c r="U485" s="25"/>
      <x:c r="V485" s="25"/>
      <x:c r="W485" s="25"/>
      <x:c r="X485" s="25"/>
      <x:c r="Y485" s="25"/>
      <x:c r="Z485" s="25"/>
    </x:row>
    <x:row r="486">
      <x:c r="A486" s="25"/>
      <x:c r="B486" s="25"/>
      <x:c r="C486" s="25"/>
      <x:c r="D486" s="25"/>
      <x:c r="E486" s="25"/>
      <x:c r="F486" s="25"/>
      <x:c r="G486" s="25"/>
      <x:c r="H486" s="25"/>
      <x:c r="I486" s="25"/>
      <x:c r="J486" s="25"/>
      <x:c r="K486" s="25"/>
      <x:c r="L486" s="25"/>
      <x:c r="M486" s="25"/>
      <x:c r="N486" s="25"/>
      <x:c r="O486" s="25"/>
      <x:c r="P486" s="25"/>
      <x:c r="Q486" s="25"/>
      <x:c r="R486" s="25"/>
      <x:c r="S486" s="25"/>
      <x:c r="T486" s="25"/>
      <x:c r="U486" s="25"/>
      <x:c r="V486" s="25"/>
      <x:c r="W486" s="25"/>
      <x:c r="X486" s="25"/>
      <x:c r="Y486" s="25"/>
      <x:c r="Z486" s="25"/>
    </x:row>
    <x:row r="487">
      <x:c r="A487" s="25"/>
      <x:c r="B487" s="25"/>
      <x:c r="C487" s="25"/>
      <x:c r="D487" s="25"/>
      <x:c r="E487" s="25"/>
      <x:c r="F487" s="25"/>
      <x:c r="G487" s="25"/>
      <x:c r="H487" s="25"/>
      <x:c r="I487" s="25"/>
      <x:c r="J487" s="25"/>
      <x:c r="K487" s="25"/>
      <x:c r="L487" s="25"/>
      <x:c r="M487" s="25"/>
      <x:c r="N487" s="25"/>
      <x:c r="O487" s="25"/>
      <x:c r="P487" s="25"/>
      <x:c r="Q487" s="25"/>
      <x:c r="R487" s="25"/>
      <x:c r="S487" s="25"/>
      <x:c r="T487" s="25"/>
      <x:c r="U487" s="25"/>
      <x:c r="V487" s="25"/>
      <x:c r="W487" s="25"/>
      <x:c r="X487" s="25"/>
      <x:c r="Y487" s="25"/>
      <x:c r="Z487" s="25"/>
    </x:row>
    <x:row r="488">
      <x:c r="A488" s="25"/>
      <x:c r="B488" s="25"/>
      <x:c r="C488" s="25"/>
      <x:c r="D488" s="25"/>
      <x:c r="E488" s="25"/>
      <x:c r="F488" s="25"/>
      <x:c r="G488" s="25"/>
      <x:c r="H488" s="25"/>
      <x:c r="I488" s="25"/>
      <x:c r="J488" s="25"/>
      <x:c r="K488" s="25"/>
      <x:c r="L488" s="25"/>
      <x:c r="M488" s="25"/>
      <x:c r="N488" s="25"/>
      <x:c r="O488" s="25"/>
      <x:c r="P488" s="25"/>
      <x:c r="Q488" s="25"/>
      <x:c r="R488" s="25"/>
      <x:c r="S488" s="25"/>
      <x:c r="T488" s="25"/>
      <x:c r="U488" s="25"/>
      <x:c r="V488" s="25"/>
      <x:c r="W488" s="25"/>
      <x:c r="X488" s="25"/>
      <x:c r="Y488" s="25"/>
      <x:c r="Z488" s="25"/>
    </x:row>
    <x:row r="489">
      <x:c r="A489" s="25"/>
      <x:c r="B489" s="25"/>
      <x:c r="C489" s="25"/>
      <x:c r="D489" s="25"/>
      <x:c r="E489" s="25"/>
      <x:c r="F489" s="25"/>
      <x:c r="G489" s="25"/>
      <x:c r="H489" s="25"/>
      <x:c r="I489" s="25"/>
      <x:c r="J489" s="25"/>
      <x:c r="K489" s="25"/>
      <x:c r="L489" s="25"/>
      <x:c r="M489" s="25"/>
      <x:c r="N489" s="25"/>
      <x:c r="O489" s="25"/>
      <x:c r="P489" s="25"/>
      <x:c r="Q489" s="25"/>
      <x:c r="R489" s="25"/>
      <x:c r="S489" s="25"/>
      <x:c r="T489" s="25"/>
      <x:c r="U489" s="25"/>
      <x:c r="V489" s="25"/>
      <x:c r="W489" s="25"/>
      <x:c r="X489" s="25"/>
      <x:c r="Y489" s="25"/>
      <x:c r="Z489" s="25"/>
    </x:row>
    <x:row r="490">
      <x:c r="A490" s="25"/>
      <x:c r="B490" s="25"/>
      <x:c r="C490" s="25"/>
      <x:c r="D490" s="25"/>
      <x:c r="E490" s="25"/>
      <x:c r="F490" s="25"/>
      <x:c r="G490" s="25"/>
      <x:c r="H490" s="25"/>
      <x:c r="I490" s="25"/>
      <x:c r="J490" s="25"/>
      <x:c r="K490" s="25"/>
      <x:c r="L490" s="25"/>
      <x:c r="M490" s="25"/>
      <x:c r="N490" s="25"/>
      <x:c r="O490" s="25"/>
      <x:c r="P490" s="25"/>
      <x:c r="Q490" s="25"/>
      <x:c r="R490" s="25"/>
      <x:c r="S490" s="25"/>
      <x:c r="T490" s="25"/>
      <x:c r="U490" s="25"/>
      <x:c r="V490" s="25"/>
      <x:c r="W490" s="25"/>
      <x:c r="X490" s="25"/>
      <x:c r="Y490" s="25"/>
      <x:c r="Z490" s="25"/>
    </x:row>
    <x:row r="491">
      <x:c r="A491" s="25"/>
      <x:c r="B491" s="25"/>
      <x:c r="C491" s="25"/>
      <x:c r="D491" s="25"/>
      <x:c r="E491" s="25"/>
      <x:c r="F491" s="25"/>
      <x:c r="G491" s="25"/>
      <x:c r="H491" s="25"/>
      <x:c r="I491" s="25"/>
      <x:c r="J491" s="25"/>
      <x:c r="K491" s="25"/>
      <x:c r="L491" s="25"/>
      <x:c r="M491" s="25"/>
      <x:c r="N491" s="25"/>
      <x:c r="O491" s="25"/>
      <x:c r="P491" s="25"/>
      <x:c r="Q491" s="25"/>
      <x:c r="R491" s="25"/>
      <x:c r="S491" s="25"/>
      <x:c r="T491" s="25"/>
      <x:c r="U491" s="25"/>
      <x:c r="V491" s="25"/>
      <x:c r="W491" s="25"/>
      <x:c r="X491" s="25"/>
      <x:c r="Y491" s="25"/>
      <x:c r="Z491" s="25"/>
    </x:row>
    <x:row r="492">
      <x:c r="A492" s="25"/>
      <x:c r="B492" s="25"/>
      <x:c r="C492" s="25"/>
      <x:c r="D492" s="25"/>
      <x:c r="E492" s="25"/>
      <x:c r="F492" s="25"/>
      <x:c r="G492" s="25"/>
      <x:c r="H492" s="25"/>
      <x:c r="I492" s="25"/>
      <x:c r="J492" s="25"/>
      <x:c r="K492" s="25"/>
      <x:c r="L492" s="25"/>
      <x:c r="M492" s="25"/>
      <x:c r="N492" s="25"/>
      <x:c r="O492" s="25"/>
      <x:c r="P492" s="25"/>
      <x:c r="Q492" s="25"/>
      <x:c r="R492" s="25"/>
      <x:c r="S492" s="25"/>
      <x:c r="T492" s="25"/>
      <x:c r="U492" s="25"/>
      <x:c r="V492" s="25"/>
      <x:c r="W492" s="25"/>
      <x:c r="X492" s="25"/>
      <x:c r="Y492" s="25"/>
      <x:c r="Z492" s="25"/>
    </x:row>
    <x:row r="493">
      <x:c r="A493" s="25"/>
      <x:c r="B493" s="25"/>
      <x:c r="C493" s="25"/>
      <x:c r="D493" s="25"/>
      <x:c r="E493" s="25"/>
      <x:c r="F493" s="25"/>
      <x:c r="G493" s="25"/>
      <x:c r="H493" s="25"/>
      <x:c r="I493" s="25"/>
      <x:c r="J493" s="25"/>
      <x:c r="K493" s="25"/>
      <x:c r="L493" s="25"/>
      <x:c r="M493" s="25"/>
      <x:c r="N493" s="25"/>
      <x:c r="O493" s="25"/>
      <x:c r="P493" s="25"/>
      <x:c r="Q493" s="25"/>
      <x:c r="R493" s="25"/>
      <x:c r="S493" s="25"/>
      <x:c r="T493" s="25"/>
      <x:c r="U493" s="25"/>
      <x:c r="V493" s="25"/>
      <x:c r="W493" s="25"/>
      <x:c r="X493" s="25"/>
      <x:c r="Y493" s="25"/>
      <x:c r="Z493" s="25"/>
    </x:row>
    <x:row r="494">
      <x:c r="A494" s="25"/>
      <x:c r="B494" s="25"/>
      <x:c r="C494" s="25"/>
      <x:c r="D494" s="25"/>
      <x:c r="E494" s="25"/>
      <x:c r="F494" s="25"/>
      <x:c r="G494" s="25"/>
      <x:c r="H494" s="25"/>
      <x:c r="I494" s="25"/>
      <x:c r="J494" s="25"/>
      <x:c r="K494" s="25"/>
      <x:c r="L494" s="25"/>
      <x:c r="M494" s="25"/>
      <x:c r="N494" s="25"/>
      <x:c r="O494" s="25"/>
      <x:c r="P494" s="25"/>
      <x:c r="Q494" s="25"/>
      <x:c r="R494" s="25"/>
      <x:c r="S494" s="25"/>
      <x:c r="T494" s="25"/>
      <x:c r="U494" s="25"/>
      <x:c r="V494" s="25"/>
      <x:c r="W494" s="25"/>
      <x:c r="X494" s="25"/>
      <x:c r="Y494" s="25"/>
      <x:c r="Z494" s="25"/>
    </x:row>
    <x:row r="495">
      <x:c r="A495" s="25"/>
      <x:c r="B495" s="25"/>
      <x:c r="C495" s="25"/>
      <x:c r="D495" s="25"/>
      <x:c r="E495" s="25"/>
      <x:c r="F495" s="25"/>
      <x:c r="G495" s="25"/>
      <x:c r="H495" s="25"/>
      <x:c r="I495" s="25"/>
      <x:c r="J495" s="25"/>
      <x:c r="K495" s="25"/>
      <x:c r="L495" s="25"/>
      <x:c r="M495" s="25"/>
      <x:c r="N495" s="25"/>
      <x:c r="O495" s="25"/>
      <x:c r="P495" s="25"/>
      <x:c r="Q495" s="25"/>
      <x:c r="R495" s="25"/>
      <x:c r="S495" s="25"/>
      <x:c r="T495" s="25"/>
      <x:c r="U495" s="25"/>
      <x:c r="V495" s="25"/>
      <x:c r="W495" s="25"/>
      <x:c r="X495" s="25"/>
      <x:c r="Y495" s="25"/>
      <x:c r="Z495" s="25"/>
    </x:row>
    <x:row r="496">
      <x:c r="A496" s="25"/>
      <x:c r="B496" s="25"/>
      <x:c r="C496" s="25"/>
      <x:c r="D496" s="25"/>
      <x:c r="E496" s="25"/>
      <x:c r="F496" s="25"/>
      <x:c r="G496" s="25"/>
      <x:c r="H496" s="25"/>
      <x:c r="I496" s="25"/>
      <x:c r="J496" s="25"/>
      <x:c r="K496" s="25"/>
      <x:c r="L496" s="25"/>
      <x:c r="M496" s="25"/>
      <x:c r="N496" s="25"/>
      <x:c r="O496" s="25"/>
      <x:c r="P496" s="25"/>
      <x:c r="Q496" s="25"/>
      <x:c r="R496" s="25"/>
      <x:c r="S496" s="25"/>
      <x:c r="T496" s="25"/>
      <x:c r="U496" s="25"/>
      <x:c r="V496" s="25"/>
      <x:c r="W496" s="25"/>
      <x:c r="X496" s="25"/>
      <x:c r="Y496" s="25"/>
      <x:c r="Z496" s="25"/>
    </x:row>
    <x:row r="497">
      <x:c r="A497" s="25"/>
      <x:c r="B497" s="25"/>
      <x:c r="C497" s="25"/>
      <x:c r="D497" s="25"/>
      <x:c r="E497" s="25"/>
      <x:c r="F497" s="25"/>
      <x:c r="G497" s="25"/>
      <x:c r="H497" s="25"/>
      <x:c r="I497" s="25"/>
      <x:c r="J497" s="25"/>
      <x:c r="K497" s="25"/>
      <x:c r="L497" s="25"/>
      <x:c r="M497" s="25"/>
      <x:c r="N497" s="25"/>
      <x:c r="O497" s="25"/>
      <x:c r="P497" s="25"/>
      <x:c r="Q497" s="25"/>
      <x:c r="R497" s="25"/>
      <x:c r="S497" s="25"/>
      <x:c r="T497" s="25"/>
      <x:c r="U497" s="25"/>
      <x:c r="V497" s="25"/>
      <x:c r="W497" s="25"/>
      <x:c r="X497" s="25"/>
      <x:c r="Y497" s="25"/>
      <x:c r="Z497" s="25"/>
    </x:row>
    <x:row r="498">
      <x:c r="A498" s="25"/>
      <x:c r="B498" s="25"/>
      <x:c r="C498" s="25"/>
      <x:c r="D498" s="25"/>
      <x:c r="E498" s="25"/>
      <x:c r="F498" s="25"/>
      <x:c r="G498" s="25"/>
      <x:c r="H498" s="25"/>
      <x:c r="I498" s="25"/>
      <x:c r="J498" s="25"/>
      <x:c r="K498" s="25"/>
      <x:c r="L498" s="25"/>
      <x:c r="M498" s="25"/>
      <x:c r="N498" s="25"/>
      <x:c r="O498" s="25"/>
      <x:c r="P498" s="25"/>
      <x:c r="Q498" s="25"/>
      <x:c r="R498" s="25"/>
      <x:c r="S498" s="25"/>
      <x:c r="T498" s="25"/>
      <x:c r="U498" s="25"/>
      <x:c r="V498" s="25"/>
      <x:c r="W498" s="25"/>
      <x:c r="X498" s="25"/>
      <x:c r="Y498" s="25"/>
      <x:c r="Z498" s="25"/>
    </x:row>
    <x:row r="499">
      <x:c r="A499" s="25"/>
      <x:c r="B499" s="25"/>
      <x:c r="C499" s="25"/>
      <x:c r="D499" s="25"/>
      <x:c r="E499" s="25"/>
      <x:c r="F499" s="25"/>
      <x:c r="G499" s="25"/>
      <x:c r="H499" s="25"/>
      <x:c r="I499" s="25"/>
      <x:c r="J499" s="25"/>
      <x:c r="K499" s="25"/>
      <x:c r="L499" s="25"/>
      <x:c r="M499" s="25"/>
      <x:c r="N499" s="25"/>
      <x:c r="O499" s="25"/>
      <x:c r="P499" s="25"/>
      <x:c r="Q499" s="25"/>
      <x:c r="R499" s="25"/>
      <x:c r="S499" s="25"/>
      <x:c r="T499" s="25"/>
      <x:c r="U499" s="25"/>
      <x:c r="V499" s="25"/>
      <x:c r="W499" s="25"/>
      <x:c r="X499" s="25"/>
      <x:c r="Y499" s="25"/>
      <x:c r="Z499" s="25"/>
    </x:row>
    <x:row r="500">
      <x:c r="A500" s="25"/>
      <x:c r="B500" s="25"/>
      <x:c r="C500" s="25"/>
      <x:c r="D500" s="25"/>
      <x:c r="E500" s="25"/>
      <x:c r="F500" s="25"/>
      <x:c r="G500" s="25"/>
      <x:c r="H500" s="25"/>
      <x:c r="I500" s="25"/>
      <x:c r="J500" s="25"/>
      <x:c r="K500" s="25"/>
      <x:c r="L500" s="25"/>
      <x:c r="M500" s="25"/>
      <x:c r="N500" s="25"/>
      <x:c r="O500" s="25"/>
      <x:c r="P500" s="25"/>
      <x:c r="Q500" s="25"/>
      <x:c r="R500" s="25"/>
      <x:c r="S500" s="25"/>
      <x:c r="T500" s="25"/>
      <x:c r="U500" s="25"/>
      <x:c r="V500" s="25"/>
      <x:c r="W500" s="25"/>
      <x:c r="X500" s="25"/>
      <x:c r="Y500" s="25"/>
      <x:c r="Z500" s="25"/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086a21b3cc7a4749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26" hidden="0" customWidth="1"/>
    <x:col min="5" max="5" width="54" hidden="0" customWidth="1"/>
    <x:col min="6" max="6" width="12" hidden="0" customWidth="1"/>
    <x:col min="7" max="7" width="20" hidden="0" customWidth="1"/>
    <x:col min="8" max="8" width="10" hidden="0" customWidth="1"/>
    <x:col min="9" max="9" width="24" hidden="0" customWidth="1"/>
    <x:col min="10" max="10" width="24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  <x:col min="17" max="17" width="10" hidden="0" customWidth="1"/>
    <x:col min="18" max="18" width="12" hidden="0" customWidth="1"/>
    <x:col min="19" max="19" width="12" hidden="0" customWidth="1"/>
    <x:col min="20" max="20" width="10" hidden="0" customWidth="1"/>
  </x:cols>
  <x:sheetData>
    <x:row r="1">
      <x:c r="A1" s="26" t="str">
        <x:v>Feature ID</x:v>
      </x:c>
      <x:c r="B1" s="26" t="str">
        <x:v>Domain</x:v>
      </x:c>
      <x:c r="C1" s="26" t="str">
        <x:v>Module</x:v>
      </x:c>
      <x:c r="D1" s="26" t="str">
        <x:v>Feature</x:v>
      </x:c>
      <x:c r="E1" s="26" t="str">
        <x:v>Description</x:v>
      </x:c>
      <x:c r="F1" s="26" t="str">
        <x:v>Primary Actor</x:v>
      </x:c>
      <x:c r="G1" s="26" t="str">
        <x:v>AI / Logic</x:v>
      </x:c>
      <x:c r="H1" s="26" t="str">
        <x:v>AI Needed</x:v>
      </x:c>
      <x:c r="I1" s="26" t="str">
        <x:v>Pet Life Event</x:v>
      </x:c>
      <x:c r="J1" s="26" t="str">
        <x:v>Dependencies</x:v>
      </x:c>
      <x:c r="K1" s="26" t="str">
        <x:v>Stage</x:v>
      </x:c>
      <x:c r="L1" s="26" t="str">
        <x:v>Priority</x:v>
      </x:c>
      <x:c r="M1" s="26" t="str">
        <x:v>Frequency</x:v>
      </x:c>
      <x:c r="N1" s="26" t="str">
        <x:v>User Value</x:v>
      </x:c>
      <x:c r="O1" s="26" t="str">
        <x:v>Data Value</x:v>
      </x:c>
      <x:c r="P1" s="26" t="str">
        <x:v>Business Value</x:v>
      </x:c>
      <x:c r="Q1" s="26" t="str">
        <x:v>Difficulty</x:v>
      </x:c>
      <x:c r="R1" s="26" t="str">
        <x:v>Safety Risk</x:v>
      </x:c>
      <x:c r="S1" s="26" t="str">
        <x:v>Priority Score</x:v>
      </x:c>
      <x:c r="T1" s="26" t="str">
        <x:v>Risk Class</x:v>
      </x:c>
      <x:c r="U1" s="25"/>
      <x:c r="V1" s="25"/>
      <x:c r="W1" s="25"/>
      <x:c r="X1" s="25"/>
      <x:c r="Y1" s="25"/>
      <x:c r="Z1" s="25"/>
    </x:row>
    <x:row r="2">
      <x:c r="A2" s="14" t="str">
        <x:v>PLI-001</x:v>
      </x:c>
      <x:c r="B2" s="14" t="str">
        <x:v>01 Identity &amp; Permissions</x:v>
      </x:c>
      <x:c r="C2" s="14" t="str">
        <x:v>Pet ID</x:v>
      </x:c>
      <x:c r="D2" s="14" t="str">
        <x:v>创建宠物主档</x:v>
      </x:c>
      <x:c r="E2" s="14" t="str">
        <x:v>建立单只宠物的唯一平台身份，录入物种、品种、生日/年龄、性别、绝育、体重等基础信息。</x:v>
      </x:c>
      <x:c r="F2" s="14" t="str">
        <x:v>宠主</x:v>
      </x:c>
      <x:c r="G2" s="14" t="str">
        <x:v>无/规则</x:v>
      </x:c>
      <x:c r="H2" s="14" t="str">
        <x:v>否</x:v>
      </x:c>
      <x:c r="I2" s="14" t="str">
        <x:v>PetCreated</x:v>
      </x:c>
      <x:c r="J2" s="14" t="str"/>
      <x:c r="K2" s="14" t="str">
        <x:v>v0.1</x:v>
      </x:c>
      <x:c r="L2" s="14" t="str">
        <x:v>P0</x:v>
      </x:c>
      <x:c r="M2" s="14" t="n">
        <x:v>3</x:v>
      </x:c>
      <x:c r="N2" s="14" t="n">
        <x:v>5</x:v>
      </x:c>
      <x:c r="O2" s="14" t="n">
        <x:v>5</x:v>
      </x:c>
      <x:c r="P2" s="14" t="n">
        <x:v>2</x:v>
      </x:c>
      <x:c r="Q2" s="14" t="n">
        <x:v>2</x:v>
      </x:c>
      <x:c r="R2" s="14" t="n">
        <x:v>1</x:v>
      </x:c>
      <x:c r="S2" s="14" t="n">
        <x:f>ROUND(0.22*M2+0.28*N2+0.20*O2+0.15*P2+0.08*(6-Q2)+0.07*(6-R2),2)</x:f>
        <x:v>4.03</x:v>
      </x:c>
      <x:c r="T2" s="14" t="str">
        <x:v>低</x:v>
      </x:c>
      <x:c r="U2" s="25"/>
      <x:c r="V2" s="25"/>
      <x:c r="W2" s="25"/>
      <x:c r="X2" s="25"/>
      <x:c r="Y2" s="25"/>
      <x:c r="Z2" s="25"/>
    </x:row>
    <x:row r="3">
      <x:c r="A3" s="14" t="str">
        <x:v>PLI-002</x:v>
      </x:c>
      <x:c r="B3" s="14" t="str">
        <x:v>01 Identity &amp; Permissions</x:v>
      </x:c>
      <x:c r="C3" s="14" t="str">
        <x:v>Pet ID</x:v>
      </x:c>
      <x:c r="D3" s="14" t="str">
        <x:v>多宠家庭管理</x:v>
      </x:c>
      <x:c r="E3" s="14" t="str">
        <x:v>同一家庭下管理多只宠物并清晰切换当前宠物上下文。</x:v>
      </x:c>
      <x:c r="F3" s="14" t="str">
        <x:v>宠主</x:v>
      </x:c>
      <x:c r="G3" s="14" t="str">
        <x:v>无/规则</x:v>
      </x:c>
      <x:c r="H3" s="14" t="str">
        <x:v>否</x:v>
      </x:c>
      <x:c r="I3" s="14" t="str">
        <x:v>PetLinkedToHousehold</x:v>
      </x:c>
      <x:c r="J3" s="14" t="str"/>
      <x:c r="K3" s="14" t="str">
        <x:v>v0.1</x:v>
      </x:c>
      <x:c r="L3" s="14" t="str">
        <x:v>P0</x:v>
      </x:c>
      <x:c r="M3" s="14" t="n">
        <x:v>5</x:v>
      </x:c>
      <x:c r="N3" s="14" t="n">
        <x:v>5</x:v>
      </x:c>
      <x:c r="O3" s="14" t="n">
        <x:v>5</x:v>
      </x:c>
      <x:c r="P3" s="14" t="n">
        <x:v>2</x:v>
      </x:c>
      <x:c r="Q3" s="14" t="n">
        <x:v>2</x:v>
      </x:c>
      <x:c r="R3" s="14" t="n">
        <x:v>1</x:v>
      </x:c>
      <x:c r="S3" s="14" t="n">
        <x:f>ROUND(0.22*M3+0.28*N3+0.20*O3+0.15*P3+0.08*(6-Q3)+0.07*(6-R3),2)</x:f>
        <x:v>4.47</x:v>
      </x:c>
      <x:c r="T3" s="14" t="str">
        <x:v>低</x:v>
      </x:c>
      <x:c r="U3" s="25"/>
      <x:c r="V3" s="25"/>
      <x:c r="W3" s="25"/>
      <x:c r="X3" s="25"/>
      <x:c r="Y3" s="25"/>
      <x:c r="Z3" s="25"/>
    </x:row>
    <x:row r="4">
      <x:c r="A4" s="14" t="str">
        <x:v>PLI-003</x:v>
      </x:c>
      <x:c r="B4" s="14" t="str">
        <x:v>01 Identity &amp; Permissions</x:v>
      </x:c>
      <x:c r="C4" s="14" t="str">
        <x:v>Pet ID</x:v>
      </x:c>
      <x:c r="D4" s="14" t="str">
        <x:v>头像与视觉档案</x:v>
      </x:c>
      <x:c r="E4" s="14" t="str">
        <x:v>保存标准头像、典型体貌照片，供身份核验和时间线使用。</x:v>
      </x:c>
      <x:c r="F4" s="14" t="str">
        <x:v>宠主</x:v>
      </x:c>
      <x:c r="G4" s="14" t="str">
        <x:v>视觉质量检测</x:v>
      </x:c>
      <x:c r="H4" s="14" t="str">
        <x:v>是</x:v>
      </x:c>
      <x:c r="I4" s="14" t="str">
        <x:v>PetMediaAdded</x:v>
      </x:c>
      <x:c r="J4" s="14" t="str"/>
      <x:c r="K4" s="14" t="str">
        <x:v>v0.1</x:v>
      </x:c>
      <x:c r="L4" s="14" t="str">
        <x:v>P0</x:v>
      </x:c>
      <x:c r="M4" s="14" t="n">
        <x:v>3</x:v>
      </x:c>
      <x:c r="N4" s="14" t="n">
        <x:v>4</x:v>
      </x:c>
      <x:c r="O4" s="14" t="n">
        <x:v>4</x:v>
      </x:c>
      <x:c r="P4" s="14" t="n">
        <x:v>2</x:v>
      </x:c>
      <x:c r="Q4" s="14" t="n">
        <x:v>2</x:v>
      </x:c>
      <x:c r="R4" s="14" t="n">
        <x:v>1</x:v>
      </x:c>
      <x:c r="S4" s="14" t="n">
        <x:f>ROUND(0.22*M4+0.28*N4+0.20*O4+0.15*P4+0.08*(6-Q4)+0.07*(6-R4),2)</x:f>
        <x:v>3.55</x:v>
      </x:c>
      <x:c r="T4" s="14" t="str">
        <x:v>低</x:v>
      </x:c>
      <x:c r="U4" s="25"/>
      <x:c r="V4" s="25"/>
      <x:c r="W4" s="25"/>
      <x:c r="X4" s="25"/>
      <x:c r="Y4" s="25"/>
      <x:c r="Z4" s="25"/>
    </x:row>
    <x:row r="5">
      <x:c r="A5" s="14" t="str">
        <x:v>PLI-004</x:v>
      </x:c>
      <x:c r="B5" s="14" t="str">
        <x:v>01 Identity &amp; Permissions</x:v>
      </x:c>
      <x:c r="C5" s="14" t="str">
        <x:v>Pet ID</x:v>
      </x:c>
      <x:c r="D5" s="14" t="str">
        <x:v>芯片号记录与验证</x:v>
      </x:c>
      <x:c r="E5" s="14" t="str">
        <x:v>记录 microchip 号码、注册机构和核验状态，不声称芯片具备定位能力。</x:v>
      </x:c>
      <x:c r="F5" s="14" t="str">
        <x:v>宠主</x:v>
      </x:c>
      <x:c r="G5" s="14" t="str">
        <x:v>无/规则</x:v>
      </x:c>
      <x:c r="H5" s="14" t="str">
        <x:v>否</x:v>
      </x:c>
      <x:c r="I5" s="14" t="str">
        <x:v>IdentifierAdded</x:v>
      </x:c>
      <x:c r="J5" s="14" t="str"/>
      <x:c r="K5" s="14" t="str">
        <x:v>v0.2</x:v>
      </x:c>
      <x:c r="L5" s="14" t="str">
        <x:v>P1</x:v>
      </x:c>
      <x:c r="M5" s="14" t="n">
        <x:v>2</x:v>
      </x:c>
      <x:c r="N5" s="14" t="n">
        <x:v>4</x:v>
      </x:c>
      <x:c r="O5" s="14" t="n">
        <x:v>5</x:v>
      </x:c>
      <x:c r="P5" s="14" t="n">
        <x:v>2</x:v>
      </x:c>
      <x:c r="Q5" s="14" t="n">
        <x:v>2</x:v>
      </x:c>
      <x:c r="R5" s="14" t="n">
        <x:v>2</x:v>
      </x:c>
      <x:c r="S5" s="14" t="n">
        <x:f>ROUND(0.22*M5+0.28*N5+0.20*O5+0.15*P5+0.08*(6-Q5)+0.07*(6-R5),2)</x:f>
        <x:v>3.46</x:v>
      </x:c>
      <x:c r="T5" s="14" t="str">
        <x:v>低</x:v>
      </x:c>
      <x:c r="U5" s="25"/>
      <x:c r="V5" s="25"/>
      <x:c r="W5" s="25"/>
      <x:c r="X5" s="25"/>
      <x:c r="Y5" s="25"/>
      <x:c r="Z5" s="25"/>
    </x:row>
    <x:row r="6">
      <x:c r="A6" s="14" t="str">
        <x:v>PLI-005</x:v>
      </x:c>
      <x:c r="B6" s="14" t="str">
        <x:v>01 Identity &amp; Permissions</x:v>
      </x:c>
      <x:c r="C6" s="14" t="str">
        <x:v>Pet ID</x:v>
      </x:c>
      <x:c r="D6" s="14" t="str">
        <x:v>QR/NFC Care Card</x:v>
      </x:c>
      <x:c r="E6" s="14" t="str">
        <x:v>为宠物生成可撤销的二维码/NFC入口，展示授权范围内的照护与紧急信息。</x:v>
      </x:c>
      <x:c r="F6" s="14" t="str">
        <x:v>宠主</x:v>
      </x:c>
      <x:c r="G6" s="14" t="str">
        <x:v>无/规则</x:v>
      </x:c>
      <x:c r="H6" s="14" t="str">
        <x:v>否</x:v>
      </x:c>
      <x:c r="I6" s="14" t="str">
        <x:v>AccessTokenIssued</x:v>
      </x:c>
      <x:c r="J6" s="14" t="str"/>
      <x:c r="K6" s="14" t="str">
        <x:v>v0.2</x:v>
      </x:c>
      <x:c r="L6" s="14" t="str">
        <x:v>P1</x:v>
      </x:c>
      <x:c r="M6" s="14" t="n">
        <x:v>3</x:v>
      </x:c>
      <x:c r="N6" s="14" t="n">
        <x:v>5</x:v>
      </x:c>
      <x:c r="O6" s="14" t="n">
        <x:v>4</x:v>
      </x:c>
      <x:c r="P6" s="14" t="n">
        <x:v>3</x:v>
      </x:c>
      <x:c r="Q6" s="14" t="n">
        <x:v>3</x:v>
      </x:c>
      <x:c r="R6" s="14" t="n">
        <x:v>3</x:v>
      </x:c>
      <x:c r="S6" s="14" t="n">
        <x:f>ROUND(0.22*M6+0.28*N6+0.20*O6+0.15*P6+0.08*(6-Q6)+0.07*(6-R6),2)</x:f>
        <x:v>3.76</x:v>
      </x:c>
      <x:c r="T6" s="14" t="str">
        <x:v>低</x:v>
      </x:c>
      <x:c r="U6" s="25"/>
      <x:c r="V6" s="25"/>
      <x:c r="W6" s="25"/>
      <x:c r="X6" s="25"/>
      <x:c r="Y6" s="25"/>
      <x:c r="Z6" s="25"/>
    </x:row>
    <x:row r="7">
      <x:c r="A7" s="14" t="str">
        <x:v>PLI-006</x:v>
      </x:c>
      <x:c r="B7" s="14" t="str">
        <x:v>01 Identity &amp; Permissions</x:v>
      </x:c>
      <x:c r="C7" s="14" t="str">
        <x:v>Identity</x:v>
      </x:c>
      <x:c r="D7" s="14" t="str">
        <x:v>身份去重与合并</x:v>
      </x:c>
      <x:c r="E7" s="14" t="str">
        <x:v>检测重复宠物档案，支持人工确认后合并且保留审计记录。</x:v>
      </x:c>
      <x:c r="F7" s="14" t="str">
        <x:v>宠主</x:v>
      </x:c>
      <x:c r="G7" s="14" t="str">
        <x:v>实体匹配</x:v>
      </x:c>
      <x:c r="H7" s="14" t="str">
        <x:v>是</x:v>
      </x:c>
      <x:c r="I7" s="14" t="str">
        <x:v>PetMerged</x:v>
      </x:c>
      <x:c r="J7" s="14" t="str"/>
      <x:c r="K7" s="14" t="str">
        <x:v>v1.0</x:v>
      </x:c>
      <x:c r="L7" s="14" t="str">
        <x:v>P2</x:v>
      </x:c>
      <x:c r="M7" s="14" t="n">
        <x:v>2</x:v>
      </x:c>
      <x:c r="N7" s="14" t="n">
        <x:v>4</x:v>
      </x:c>
      <x:c r="O7" s="14" t="n">
        <x:v>5</x:v>
      </x:c>
      <x:c r="P7" s="14" t="n">
        <x:v>2</x:v>
      </x:c>
      <x:c r="Q7" s="14" t="n">
        <x:v>4</x:v>
      </x:c>
      <x:c r="R7" s="14" t="n">
        <x:v>3</x:v>
      </x:c>
      <x:c r="S7" s="14" t="n">
        <x:f>ROUND(0.22*M7+0.28*N7+0.20*O7+0.15*P7+0.08*(6-Q7)+0.07*(6-R7),2)</x:f>
        <x:v>3.23</x:v>
      </x:c>
      <x:c r="T7" s="14" t="str">
        <x:v>低</x:v>
      </x:c>
      <x:c r="U7" s="25"/>
      <x:c r="V7" s="25"/>
      <x:c r="W7" s="25"/>
      <x:c r="X7" s="25"/>
      <x:c r="Y7" s="25"/>
      <x:c r="Z7" s="25"/>
    </x:row>
    <x:row r="8">
      <x:c r="A8" s="14" t="str">
        <x:v>PLI-007</x:v>
      </x:c>
      <x:c r="B8" s="14" t="str">
        <x:v>01 Identity &amp; Permissions</x:v>
      </x:c>
      <x:c r="C8" s="14" t="str">
        <x:v>Identity</x:v>
      </x:c>
      <x:c r="D8" s="14" t="str">
        <x:v>生物特征辅助识别</x:v>
      </x:c>
      <x:c r="E8" s="14" t="str">
        <x:v>预留猫脸/犬鼻纹等1:1辅助核验接口，作为芯片和人工确认的补充而非替代。</x:v>
      </x:c>
      <x:c r="F8" s="14" t="str">
        <x:v>宠主</x:v>
      </x:c>
      <x:c r="G8" s="14" t="str">
        <x:v>CV/生物特征</x:v>
      </x:c>
      <x:c r="H8" s="14" t="str">
        <x:v>是</x:v>
      </x:c>
      <x:c r="I8" s="14" t="str">
        <x:v>IdentityCheck</x:v>
      </x:c>
      <x:c r="J8" s="14" t="str"/>
      <x:c r="K8" s="14" t="str">
        <x:v>Future</x:v>
      </x:c>
      <x:c r="L8" s="14" t="str">
        <x:v>Future</x:v>
      </x:c>
      <x:c r="M8" s="14" t="n">
        <x:v>2</x:v>
      </x:c>
      <x:c r="N8" s="14" t="n">
        <x:v>3</x:v>
      </x:c>
      <x:c r="O8" s="14" t="n">
        <x:v>4</x:v>
      </x:c>
      <x:c r="P8" s="14" t="n">
        <x:v>3</x:v>
      </x:c>
      <x:c r="Q8" s="14" t="n">
        <x:v>5</x:v>
      </x:c>
      <x:c r="R8" s="14" t="n">
        <x:v>5</x:v>
      </x:c>
      <x:c r="S8" s="14" t="n">
        <x:f>ROUND(0.22*M8+0.28*N8+0.20*O8+0.15*P8+0.08*(6-Q8)+0.07*(6-R8),2)</x:f>
        <x:v>2.68</x:v>
      </x:c>
      <x:c r="T8" s="14" t="str">
        <x:v>高</x:v>
      </x:c>
      <x:c r="U8" s="25"/>
      <x:c r="V8" s="25"/>
      <x:c r="W8" s="25"/>
      <x:c r="X8" s="25"/>
      <x:c r="Y8" s="25"/>
      <x:c r="Z8" s="25"/>
    </x:row>
    <x:row r="9">
      <x:c r="A9" s="14" t="str">
        <x:v>PLI-008</x:v>
      </x:c>
      <x:c r="B9" s="14" t="str">
        <x:v>01 Identity &amp; Permissions</x:v>
      </x:c>
      <x:c r="C9" s="14" t="str">
        <x:v>Ownership</x:v>
      </x:c>
      <x:c r="D9" s="14" t="str">
        <x:v>Owner / Co-owner关系</x:v>
      </x:c>
      <x:c r="E9" s="14" t="str">
        <x:v>明确主所有者与共同所有者，支持多家庭成员共同照护。</x:v>
      </x:c>
      <x:c r="F9" s="14" t="str">
        <x:v>宠主</x:v>
      </x:c>
      <x:c r="G9" s="14" t="str">
        <x:v>无/规则</x:v>
      </x:c>
      <x:c r="H9" s="14" t="str">
        <x:v>否</x:v>
      </x:c>
      <x:c r="I9" s="14" t="str">
        <x:v>RelationshipCreated</x:v>
      </x:c>
      <x:c r="J9" s="14" t="str"/>
      <x:c r="K9" s="14" t="str">
        <x:v>v0.1</x:v>
      </x:c>
      <x:c r="L9" s="14" t="str">
        <x:v>P0</x:v>
      </x:c>
      <x:c r="M9" s="14" t="n">
        <x:v>3</x:v>
      </x:c>
      <x:c r="N9" s="14" t="n">
        <x:v>5</x:v>
      </x:c>
      <x:c r="O9" s="14" t="n">
        <x:v>5</x:v>
      </x:c>
      <x:c r="P9" s="14" t="n">
        <x:v>2</x:v>
      </x:c>
      <x:c r="Q9" s="14" t="n">
        <x:v>2</x:v>
      </x:c>
      <x:c r="R9" s="14" t="n">
        <x:v>2</x:v>
      </x:c>
      <x:c r="S9" s="14" t="n">
        <x:f>ROUND(0.22*M9+0.28*N9+0.20*O9+0.15*P9+0.08*(6-Q9)+0.07*(6-R9),2)</x:f>
        <x:v>3.96</x:v>
      </x:c>
      <x:c r="T9" s="14" t="str">
        <x:v>低</x:v>
      </x:c>
      <x:c r="U9" s="25"/>
      <x:c r="V9" s="25"/>
      <x:c r="W9" s="25"/>
      <x:c r="X9" s="25"/>
      <x:c r="Y9" s="25"/>
      <x:c r="Z9" s="25"/>
    </x:row>
    <x:row r="10">
      <x:c r="A10" s="14" t="str">
        <x:v>PLI-009</x:v>
      </x:c>
      <x:c r="B10" s="14" t="str">
        <x:v>01 Identity &amp; Permissions</x:v>
      </x:c>
      <x:c r="C10" s="14" t="str">
        <x:v>Ownership</x:v>
      </x:c>
      <x:c r="D10" s="14" t="str">
        <x:v>所有权转移流程</x:v>
      </x:c>
      <x:c r="E10" s="14" t="str">
        <x:v>支持领养/转让时在双方确认、证据和冷静期规则下转移主档控制权。</x:v>
      </x:c>
      <x:c r="F10" s="14" t="str">
        <x:v>宠主</x:v>
      </x:c>
      <x:c r="G10" s="14" t="str">
        <x:v>无/规则</x:v>
      </x:c>
      <x:c r="H10" s="14" t="str">
        <x:v>否</x:v>
      </x:c>
      <x:c r="I10" s="14" t="str">
        <x:v>OwnershipTransferred</x:v>
      </x:c>
      <x:c r="J10" s="14" t="str"/>
      <x:c r="K10" s="14" t="str">
        <x:v>v1.0</x:v>
      </x:c>
      <x:c r="L10" s="14" t="str">
        <x:v>P2</x:v>
      </x:c>
      <x:c r="M10" s="14" t="n">
        <x:v>1</x:v>
      </x:c>
      <x:c r="N10" s="14" t="n">
        <x:v>5</x:v>
      </x:c>
      <x:c r="O10" s="14" t="n">
        <x:v>5</x:v>
      </x:c>
      <x:c r="P10" s="14" t="n">
        <x:v>2</x:v>
      </x:c>
      <x:c r="Q10" s="14" t="n">
        <x:v>4</x:v>
      </x:c>
      <x:c r="R10" s="14" t="n">
        <x:v>5</x:v>
      </x:c>
      <x:c r="S10" s="14" t="n">
        <x:f>ROUND(0.22*M10+0.28*N10+0.20*O10+0.15*P10+0.08*(6-Q10)+0.07*(6-R10),2)</x:f>
        <x:v>3.15</x:v>
      </x:c>
      <x:c r="T10" s="14" t="str">
        <x:v>高</x:v>
      </x:c>
      <x:c r="U10" s="25"/>
      <x:c r="V10" s="25"/>
      <x:c r="W10" s="25"/>
      <x:c r="X10" s="25"/>
      <x:c r="Y10" s="25"/>
      <x:c r="Z10" s="25"/>
    </x:row>
    <x:row r="11">
      <x:c r="A11" s="14" t="str">
        <x:v>PLI-010</x:v>
      </x:c>
      <x:c r="B11" s="14" t="str">
        <x:v>01 Identity &amp; Permissions</x:v>
      </x:c>
      <x:c r="C11" s="14" t="str">
        <x:v>Permissions</x:v>
      </x:c>
      <x:c r="D11" s="14" t="str">
        <x:v>角色权限模型</x:v>
      </x:c>
      <x:c r="E11" s="14" t="str">
        <x:v>Owner、Family、Sitter、Vet、Trainer、Groomer等角色采用最小权限。</x:v>
      </x:c>
      <x:c r="F11" s="14" t="str">
        <x:v>宠主</x:v>
      </x:c>
      <x:c r="G11" s="14" t="str">
        <x:v>无/规则</x:v>
      </x:c>
      <x:c r="H11" s="14" t="str">
        <x:v>否</x:v>
      </x:c>
      <x:c r="I11" s="14" t="str">
        <x:v>GrantChanged</x:v>
      </x:c>
      <x:c r="J11" s="14" t="str"/>
      <x:c r="K11" s="14" t="str">
        <x:v>v0.1</x:v>
      </x:c>
      <x:c r="L11" s="14" t="str">
        <x:v>P0</x:v>
      </x:c>
      <x:c r="M11" s="14" t="n">
        <x:v>4</x:v>
      </x:c>
      <x:c r="N11" s="14" t="n">
        <x:v>5</x:v>
      </x:c>
      <x:c r="O11" s="14" t="n">
        <x:v>5</x:v>
      </x:c>
      <x:c r="P11" s="14" t="n">
        <x:v>2</x:v>
      </x:c>
      <x:c r="Q11" s="14" t="n">
        <x:v>3</x:v>
      </x:c>
      <x:c r="R11" s="14" t="n">
        <x:v>4</x:v>
      </x:c>
      <x:c r="S11" s="14" t="n">
        <x:f>ROUND(0.22*M11+0.28*N11+0.20*O11+0.15*P11+0.08*(6-Q11)+0.07*(6-R11),2)</x:f>
        <x:v>3.96</x:v>
      </x:c>
      <x:c r="T11" s="14" t="str">
        <x:v>中</x:v>
      </x:c>
      <x:c r="U11" s="25"/>
      <x:c r="V11" s="25"/>
      <x:c r="W11" s="25"/>
      <x:c r="X11" s="25"/>
      <x:c r="Y11" s="25"/>
      <x:c r="Z11" s="25"/>
    </x:row>
    <x:row r="12">
      <x:c r="A12" s="14" t="str">
        <x:v>PLI-011</x:v>
      </x:c>
      <x:c r="B12" s="14" t="str">
        <x:v>01 Identity &amp; Permissions</x:v>
      </x:c>
      <x:c r="C12" s="14" t="str">
        <x:v>Permissions</x:v>
      </x:c>
      <x:c r="D12" s="14" t="str">
        <x:v>临时权限与自动到期</x:v>
      </x:c>
      <x:c r="E12" s="14" t="str">
        <x:v>照护期结束后自动撤销临时访问权限。</x:v>
      </x:c>
      <x:c r="F12" s="14" t="str">
        <x:v>宠主</x:v>
      </x:c>
      <x:c r="G12" s="14" t="str">
        <x:v>无/规则</x:v>
      </x:c>
      <x:c r="H12" s="14" t="str">
        <x:v>否</x:v>
      </x:c>
      <x:c r="I12" s="14" t="str">
        <x:v>GrantExpired</x:v>
      </x:c>
      <x:c r="J12" s="14" t="str">
        <x:v>角色权限模型</x:v>
      </x:c>
      <x:c r="K12" s="14" t="str">
        <x:v>v0.1</x:v>
      </x:c>
      <x:c r="L12" s="14" t="str">
        <x:v>P0</x:v>
      </x:c>
      <x:c r="M12" s="14" t="n">
        <x:v>3</x:v>
      </x:c>
      <x:c r="N12" s="14" t="n">
        <x:v>5</x:v>
      </x:c>
      <x:c r="O12" s="14" t="n">
        <x:v>4</x:v>
      </x:c>
      <x:c r="P12" s="14" t="n">
        <x:v>2</x:v>
      </x:c>
      <x:c r="Q12" s="14" t="n">
        <x:v>3</x:v>
      </x:c>
      <x:c r="R12" s="14" t="n">
        <x:v>3</x:v>
      </x:c>
      <x:c r="S12" s="14" t="n">
        <x:f>ROUND(0.22*M12+0.28*N12+0.20*O12+0.15*P12+0.08*(6-Q12)+0.07*(6-R12),2)</x:f>
        <x:v>3.61</x:v>
      </x:c>
      <x:c r="T12" s="14" t="str">
        <x:v>中</x:v>
      </x:c>
      <x:c r="U12" s="25"/>
      <x:c r="V12" s="25"/>
      <x:c r="W12" s="25"/>
      <x:c r="X12" s="25"/>
      <x:c r="Y12" s="25"/>
      <x:c r="Z12" s="25"/>
    </x:row>
    <x:row r="13">
      <x:c r="A13" s="14" t="str">
        <x:v>PLI-012</x:v>
      </x:c>
      <x:c r="B13" s="14" t="str">
        <x:v>01 Identity &amp; Permissions</x:v>
      </x:c>
      <x:c r="C13" s="14" t="str">
        <x:v>Permissions</x:v>
      </x:c>
      <x:c r="D13" s="14" t="str">
        <x:v>字段级隐私控制</x:v>
      </x:c>
      <x:c r="E13" s="14" t="str">
        <x:v>医疗、地址、消费、联系人等敏感字段可按角色单独控制。</x:v>
      </x:c>
      <x:c r="F13" s="14" t="str">
        <x:v>宠主</x:v>
      </x:c>
      <x:c r="G13" s="14" t="str">
        <x:v>无/规则</x:v>
      </x:c>
      <x:c r="H13" s="14" t="str">
        <x:v>否</x:v>
      </x:c>
      <x:c r="I13" s="14" t="str">
        <x:v>PrivacyPolicyChanged</x:v>
      </x:c>
      <x:c r="J13" s="14" t="str">
        <x:v>角色权限模型</x:v>
      </x:c>
      <x:c r="K13" s="14" t="str">
        <x:v>v1.0</x:v>
      </x:c>
      <x:c r="L13" s="14" t="str">
        <x:v>P2</x:v>
      </x:c>
      <x:c r="M13" s="14" t="n">
        <x:v>2</x:v>
      </x:c>
      <x:c r="N13" s="14" t="n">
        <x:v>5</x:v>
      </x:c>
      <x:c r="O13" s="14" t="n">
        <x:v>4</x:v>
      </x:c>
      <x:c r="P13" s="14" t="n">
        <x:v>2</x:v>
      </x:c>
      <x:c r="Q13" s="14" t="n">
        <x:v>4</x:v>
      </x:c>
      <x:c r="R13" s="14" t="n">
        <x:v>5</x:v>
      </x:c>
      <x:c r="S13" s="14" t="n">
        <x:f>ROUND(0.22*M13+0.28*N13+0.20*O13+0.15*P13+0.08*(6-Q13)+0.07*(6-R13),2)</x:f>
        <x:v>3.17</x:v>
      </x:c>
      <x:c r="T13" s="14" t="str">
        <x:v>高</x:v>
      </x:c>
      <x:c r="U13" s="25"/>
      <x:c r="V13" s="25"/>
      <x:c r="W13" s="25"/>
      <x:c r="X13" s="25"/>
      <x:c r="Y13" s="25"/>
      <x:c r="Z13" s="25"/>
    </x:row>
    <x:row r="14">
      <x:c r="A14" s="14" t="str">
        <x:v>PLI-013</x:v>
      </x:c>
      <x:c r="B14" s="14" t="str">
        <x:v>01 Identity &amp; Permissions</x:v>
      </x:c>
      <x:c r="C14" s="14" t="str">
        <x:v>Identity</x:v>
      </x:c>
      <x:c r="D14" s="14" t="str">
        <x:v>宠物状态生命周期</x:v>
      </x:c>
      <x:c r="E14" s="14" t="str">
        <x:v>支持在家、寄养、走失、被领养、离世等状态，但不删除历史。</x:v>
      </x:c>
      <x:c r="F14" s="14" t="str">
        <x:v>宠主</x:v>
      </x:c>
      <x:c r="G14" s="14" t="str">
        <x:v>无/规则</x:v>
      </x:c>
      <x:c r="H14" s="14" t="str">
        <x:v>否</x:v>
      </x:c>
      <x:c r="I14" s="14" t="str">
        <x:v>PetLifecycleChanged</x:v>
      </x:c>
      <x:c r="J14" s="14" t="str"/>
      <x:c r="K14" s="14" t="str">
        <x:v>v0.2</x:v>
      </x:c>
      <x:c r="L14" s="14" t="str">
        <x:v>P1</x:v>
      </x:c>
      <x:c r="M14" s="14" t="n">
        <x:v>2</x:v>
      </x:c>
      <x:c r="N14" s="14" t="n">
        <x:v>4</x:v>
      </x:c>
      <x:c r="O14" s="14" t="n">
        <x:v>5</x:v>
      </x:c>
      <x:c r="P14" s="14" t="n">
        <x:v>2</x:v>
      </x:c>
      <x:c r="Q14" s="14" t="n">
        <x:v>3</x:v>
      </x:c>
      <x:c r="R14" s="14" t="n">
        <x:v>2</x:v>
      </x:c>
      <x:c r="S14" s="14" t="n">
        <x:f>ROUND(0.22*M14+0.28*N14+0.20*O14+0.15*P14+0.08*(6-Q14)+0.07*(6-R14),2)</x:f>
        <x:v>3.38</x:v>
      </x:c>
      <x:c r="T14" s="14" t="str">
        <x:v>低</x:v>
      </x:c>
      <x:c r="U14" s="25"/>
      <x:c r="V14" s="25"/>
      <x:c r="W14" s="25"/>
      <x:c r="X14" s="25"/>
      <x:c r="Y14" s="25"/>
      <x:c r="Z14" s="25"/>
    </x:row>
    <x:row r="15">
      <x:c r="A15" s="14" t="str">
        <x:v>PLI-014</x:v>
      </x:c>
      <x:c r="B15" s="14" t="str">
        <x:v>01 Identity &amp; Permissions</x:v>
      </x:c>
      <x:c r="C15" s="14" t="str">
        <x:v>Emergency</x:v>
      </x:c>
      <x:c r="D15" s="14" t="str">
        <x:v>紧急联系人卡</x:v>
      </x:c>
      <x:c r="E15" s="14" t="str">
        <x:v>维护主人、备用联系人、首选兽医与关键照护备注。</x:v>
      </x:c>
      <x:c r="F15" s="14" t="str">
        <x:v>宠主</x:v>
      </x:c>
      <x:c r="G15" s="14" t="str">
        <x:v>无/规则</x:v>
      </x:c>
      <x:c r="H15" s="14" t="str">
        <x:v>否</x:v>
      </x:c>
      <x:c r="I15" s="14" t="str">
        <x:v>EmergencyProfileUpdated</x:v>
      </x:c>
      <x:c r="J15" s="14" t="str"/>
      <x:c r="K15" s="14" t="str">
        <x:v>v0.1</x:v>
      </x:c>
      <x:c r="L15" s="14" t="str">
        <x:v>P0</x:v>
      </x:c>
      <x:c r="M15" s="14" t="n">
        <x:v>2</x:v>
      </x:c>
      <x:c r="N15" s="14" t="n">
        <x:v>5</x:v>
      </x:c>
      <x:c r="O15" s="14" t="n">
        <x:v>4</x:v>
      </x:c>
      <x:c r="P15" s="14" t="n">
        <x:v>2</x:v>
      </x:c>
      <x:c r="Q15" s="14" t="n">
        <x:v>2</x:v>
      </x:c>
      <x:c r="R15" s="14" t="n">
        <x:v>2</x:v>
      </x:c>
      <x:c r="S15" s="14" t="n">
        <x:f>ROUND(0.22*M15+0.28*N15+0.20*O15+0.15*P15+0.08*(6-Q15)+0.07*(6-R15),2)</x:f>
        <x:v>3.54</x:v>
      </x:c>
      <x:c r="T15" s="14" t="str">
        <x:v>低</x:v>
      </x:c>
      <x:c r="U15" s="25"/>
      <x:c r="V15" s="25"/>
      <x:c r="W15" s="25"/>
      <x:c r="X15" s="25"/>
      <x:c r="Y15" s="25"/>
      <x:c r="Z15" s="25"/>
    </x:row>
    <x:row r="16">
      <x:c r="A16" s="14" t="str">
        <x:v>PLI-015</x:v>
      </x:c>
      <x:c r="B16" s="14" t="str">
        <x:v>01 Identity &amp; Permissions</x:v>
      </x:c>
      <x:c r="C16" s="14" t="str">
        <x:v>Data Portability</x:v>
      </x:c>
      <x:c r="D16" s="14" t="str">
        <x:v>宠物资料导出包</x:v>
      </x:c>
      <x:c r="E16" s="14" t="str">
        <x:v>导出结构化JSON/PDF/附件清单，便于转院、换服务或备份。</x:v>
      </x:c>
      <x:c r="F16" s="14" t="str">
        <x:v>宠主</x:v>
      </x:c>
      <x:c r="G16" s="14" t="str">
        <x:v>无/规则</x:v>
      </x:c>
      <x:c r="H16" s="14" t="str">
        <x:v>否</x:v>
      </x:c>
      <x:c r="I16" s="14" t="str">
        <x:v>DataExported</x:v>
      </x:c>
      <x:c r="J16" s="14" t="str"/>
      <x:c r="K16" s="14" t="str">
        <x:v>v1.0</x:v>
      </x:c>
      <x:c r="L16" s="14" t="str">
        <x:v>P2</x:v>
      </x:c>
      <x:c r="M16" s="14" t="n">
        <x:v>1</x:v>
      </x:c>
      <x:c r="N16" s="14" t="n">
        <x:v>5</x:v>
      </x:c>
      <x:c r="O16" s="14" t="n">
        <x:v>4</x:v>
      </x:c>
      <x:c r="P16" s="14" t="n">
        <x:v>2</x:v>
      </x:c>
      <x:c r="Q16" s="14" t="n">
        <x:v>3</x:v>
      </x:c>
      <x:c r="R16" s="14" t="n">
        <x:v>3</x:v>
      </x:c>
      <x:c r="S16" s="14" t="n">
        <x:f>ROUND(0.22*M16+0.28*N16+0.20*O16+0.15*P16+0.08*(6-Q16)+0.07*(6-R16),2)</x:f>
        <x:v>3.17</x:v>
      </x:c>
      <x:c r="T16" s="14" t="str">
        <x:v>低</x:v>
      </x:c>
      <x:c r="U16" s="25"/>
      <x:c r="V16" s="25"/>
      <x:c r="W16" s="25"/>
      <x:c r="X16" s="25"/>
      <x:c r="Y16" s="25"/>
      <x:c r="Z16" s="25"/>
    </x:row>
    <x:row r="17">
      <x:c r="A17" s="14" t="str">
        <x:v>PLI-016</x:v>
      </x:c>
      <x:c r="B17" s="14" t="str">
        <x:v>01 Identity &amp; Permissions</x:v>
      </x:c>
      <x:c r="C17" s="14" t="str">
        <x:v>Consent</x:v>
      </x:c>
      <x:c r="D17" s="14" t="str">
        <x:v>数据用途与研究同意</x:v>
      </x:c>
      <x:c r="E17" s="14" t="str">
        <x:v>区分服务必需、个性化、科研二次使用等同意范围，可随时撤回。</x:v>
      </x:c>
      <x:c r="F17" s="14" t="str">
        <x:v>宠主</x:v>
      </x:c>
      <x:c r="G17" s="14" t="str">
        <x:v>无/规则</x:v>
      </x:c>
      <x:c r="H17" s="14" t="str">
        <x:v>否</x:v>
      </x:c>
      <x:c r="I17" s="14" t="str">
        <x:v>ConsentChanged</x:v>
      </x:c>
      <x:c r="J17" s="14" t="str"/>
      <x:c r="K17" s="14" t="str">
        <x:v>v0.1</x:v>
      </x:c>
      <x:c r="L17" s="14" t="str">
        <x:v>P0</x:v>
      </x:c>
      <x:c r="M17" s="14" t="n">
        <x:v>1</x:v>
      </x:c>
      <x:c r="N17" s="14" t="n">
        <x:v>5</x:v>
      </x:c>
      <x:c r="O17" s="14" t="n">
        <x:v>5</x:v>
      </x:c>
      <x:c r="P17" s="14" t="n">
        <x:v>1</x:v>
      </x:c>
      <x:c r="Q17" s="14" t="n">
        <x:v>3</x:v>
      </x:c>
      <x:c r="R17" s="14" t="n">
        <x:v>5</x:v>
      </x:c>
      <x:c r="S17" s="14" t="n">
        <x:f>ROUND(0.22*M17+0.28*N17+0.20*O17+0.15*P17+0.08*(6-Q17)+0.07*(6-R17),2)</x:f>
        <x:v>3.08</x:v>
      </x:c>
      <x:c r="T17" s="14" t="str">
        <x:v>高</x:v>
      </x:c>
      <x:c r="U17" s="25"/>
      <x:c r="V17" s="25"/>
      <x:c r="W17" s="25"/>
      <x:c r="X17" s="25"/>
      <x:c r="Y17" s="25"/>
      <x:c r="Z17" s="25"/>
    </x:row>
    <x:row r="18">
      <x:c r="A18" s="14" t="str">
        <x:v>PLI-017</x:v>
      </x:c>
      <x:c r="B18" s="14" t="str">
        <x:v>02 Today &amp; Daily Life</x:v>
      </x:c>
      <x:c r="C18" s="14" t="str">
        <x:v>Today</x:v>
      </x:c>
      <x:c r="D18" s="14" t="str">
        <x:v>今日总览</x:v>
      </x:c>
      <x:c r="E18" s="14" t="str">
        <x:v>展示今天已完成/待完成的吃喝、散步、排泄、药物、训练、玩耍和异常事件。</x:v>
      </x:c>
      <x:c r="F18" s="14" t="str">
        <x:v>宠主</x:v>
      </x:c>
      <x:c r="G18" s="14" t="str">
        <x:v>无/规则</x:v>
      </x:c>
      <x:c r="H18" s="14" t="str">
        <x:v>否</x:v>
      </x:c>
      <x:c r="I18" s="14" t="str">
        <x:v>DailySummaryViewed</x:v>
      </x:c>
      <x:c r="J18" s="14" t="str"/>
      <x:c r="K18" s="14" t="str">
        <x:v>v0.1</x:v>
      </x:c>
      <x:c r="L18" s="14" t="str">
        <x:v>P0</x:v>
      </x:c>
      <x:c r="M18" s="14" t="n">
        <x:v>5</x:v>
      </x:c>
      <x:c r="N18" s="14" t="n">
        <x:v>5</x:v>
      </x:c>
      <x:c r="O18" s="14" t="n">
        <x:v>5</x:v>
      </x:c>
      <x:c r="P18" s="14" t="n">
        <x:v>3</x:v>
      </x:c>
      <x:c r="Q18" s="14" t="n">
        <x:v>2</x:v>
      </x:c>
      <x:c r="R18" s="14" t="n">
        <x:v>1</x:v>
      </x:c>
      <x:c r="S18" s="14" t="n">
        <x:f>ROUND(0.22*M18+0.28*N18+0.20*O18+0.15*P18+0.08*(6-Q18)+0.07*(6-R18),2)</x:f>
        <x:v>4.62</x:v>
      </x:c>
      <x:c r="T18" s="14" t="str">
        <x:v>低</x:v>
      </x:c>
      <x:c r="U18" s="25"/>
      <x:c r="V18" s="25"/>
      <x:c r="W18" s="25"/>
      <x:c r="X18" s="25"/>
      <x:c r="Y18" s="25"/>
      <x:c r="Z18" s="25"/>
    </x:row>
    <x:row r="19">
      <x:c r="A19" s="14" t="str">
        <x:v>PLI-018</x:v>
      </x:c>
      <x:c r="B19" s="14" t="str">
        <x:v>02 Today &amp; Daily Life</x:v>
      </x:c>
      <x:c r="C19" s="14" t="str">
        <x:v>Today</x:v>
      </x:c>
      <x:c r="D19" s="14" t="str">
        <x:v>快速记录入口</x:v>
      </x:c>
      <x:c r="E19" s="14" t="str">
        <x:v>一到两步快速记录喂食、饮水、散步、排便、玩耍、睡眠、体重等。</x:v>
      </x:c>
      <x:c r="F19" s="14" t="str">
        <x:v>宠主</x:v>
      </x:c>
      <x:c r="G19" s="14" t="str">
        <x:v>无/规则</x:v>
      </x:c>
      <x:c r="H19" s="14" t="str">
        <x:v>否</x:v>
      </x:c>
      <x:c r="I19" s="14" t="str">
        <x:v>LifeEventCreated</x:v>
      </x:c>
      <x:c r="J19" s="14" t="str"/>
      <x:c r="K19" s="14" t="str">
        <x:v>v0.1</x:v>
      </x:c>
      <x:c r="L19" s="14" t="str">
        <x:v>P0</x:v>
      </x:c>
      <x:c r="M19" s="14" t="n">
        <x:v>5</x:v>
      </x:c>
      <x:c r="N19" s="14" t="n">
        <x:v>5</x:v>
      </x:c>
      <x:c r="O19" s="14" t="n">
        <x:v>5</x:v>
      </x:c>
      <x:c r="P19" s="14" t="n">
        <x:v>2</x:v>
      </x:c>
      <x:c r="Q19" s="14" t="n">
        <x:v>2</x:v>
      </x:c>
      <x:c r="R19" s="14" t="n">
        <x:v>1</x:v>
      </x:c>
      <x:c r="S19" s="14" t="n">
        <x:f>ROUND(0.22*M19+0.28*N19+0.20*O19+0.15*P19+0.08*(6-Q19)+0.07*(6-R19),2)</x:f>
        <x:v>4.47</x:v>
      </x:c>
      <x:c r="T19" s="14" t="str">
        <x:v>低</x:v>
      </x:c>
      <x:c r="U19" s="25"/>
      <x:c r="V19" s="25"/>
      <x:c r="W19" s="25"/>
      <x:c r="X19" s="25"/>
      <x:c r="Y19" s="25"/>
      <x:c r="Z19" s="25"/>
    </x:row>
    <x:row r="20">
      <x:c r="A20" s="14" t="str">
        <x:v>PLI-019</x:v>
      </x:c>
      <x:c r="B20" s="14" t="str">
        <x:v>02 Today &amp; Daily Life</x:v>
      </x:c>
      <x:c r="C20" s="14" t="str">
        <x:v>Feeding</x:v>
      </x:c>
      <x:c r="D20" s="14" t="str">
        <x:v>喂食记录</x:v>
      </x:c>
      <x:c r="E20" s="14" t="str">
        <x:v>记录时间、食物、份量、谁喂、实际是否吃完。</x:v>
      </x:c>
      <x:c r="F20" s="14" t="str">
        <x:v>宠主</x:v>
      </x:c>
      <x:c r="G20" s="14" t="str">
        <x:v>无/规则</x:v>
      </x:c>
      <x:c r="H20" s="14" t="str">
        <x:v>否</x:v>
      </x:c>
      <x:c r="I20" s="14" t="str">
        <x:v>MealEvent</x:v>
      </x:c>
      <x:c r="J20" s="14" t="str"/>
      <x:c r="K20" s="14" t="str">
        <x:v>v0.1</x:v>
      </x:c>
      <x:c r="L20" s="14" t="str">
        <x:v>P0</x:v>
      </x:c>
      <x:c r="M20" s="14" t="n">
        <x:v>5</x:v>
      </x:c>
      <x:c r="N20" s="14" t="n">
        <x:v>5</x:v>
      </x:c>
      <x:c r="O20" s="14" t="n">
        <x:v>5</x:v>
      </x:c>
      <x:c r="P20" s="14" t="n">
        <x:v>3</x:v>
      </x:c>
      <x:c r="Q20" s="14" t="n">
        <x:v>2</x:v>
      </x:c>
      <x:c r="R20" s="14" t="n">
        <x:v>1</x:v>
      </x:c>
      <x:c r="S20" s="14" t="n">
        <x:f>ROUND(0.22*M20+0.28*N20+0.20*O20+0.15*P20+0.08*(6-Q20)+0.07*(6-R20),2)</x:f>
        <x:v>4.62</x:v>
      </x:c>
      <x:c r="T20" s="14" t="str">
        <x:v>低</x:v>
      </x:c>
      <x:c r="U20" s="25"/>
      <x:c r="V20" s="25"/>
      <x:c r="W20" s="25"/>
      <x:c r="X20" s="25"/>
      <x:c r="Y20" s="25"/>
      <x:c r="Z20" s="25"/>
    </x:row>
    <x:row r="21">
      <x:c r="A21" s="14" t="str">
        <x:v>PLI-020</x:v>
      </x:c>
      <x:c r="B21" s="14" t="str">
        <x:v>02 Today &amp; Daily Life</x:v>
      </x:c>
      <x:c r="C21" s="14" t="str">
        <x:v>Water</x:v>
      </x:c>
      <x:c r="D21" s="14" t="str">
        <x:v>饮水记录</x:v>
      </x:c>
      <x:c r="E21" s="14" t="str">
        <x:v>支持手动或设备记录饮水事件、估算量和异常备注。</x:v>
      </x:c>
      <x:c r="F21" s="14" t="str">
        <x:v>宠主</x:v>
      </x:c>
      <x:c r="G21" s="14" t="str">
        <x:v>无/规则</x:v>
      </x:c>
      <x:c r="H21" s="14" t="str">
        <x:v>否</x:v>
      </x:c>
      <x:c r="I21" s="14" t="str">
        <x:v>DrinkEvent</x:v>
      </x:c>
      <x:c r="J21" s="14" t="str"/>
      <x:c r="K21" s="14" t="str">
        <x:v>v0.1</x:v>
      </x:c>
      <x:c r="L21" s="14" t="str">
        <x:v>P0</x:v>
      </x:c>
      <x:c r="M21" s="14" t="n">
        <x:v>4</x:v>
      </x:c>
      <x:c r="N21" s="14" t="n">
        <x:v>4</x:v>
      </x:c>
      <x:c r="O21" s="14" t="n">
        <x:v>5</x:v>
      </x:c>
      <x:c r="P21" s="14" t="n">
        <x:v>2</x:v>
      </x:c>
      <x:c r="Q21" s="14" t="n">
        <x:v>2</x:v>
      </x:c>
      <x:c r="R21" s="14" t="n">
        <x:v>1</x:v>
      </x:c>
      <x:c r="S21" s="14" t="n">
        <x:f>ROUND(0.22*M21+0.28*N21+0.20*O21+0.15*P21+0.08*(6-Q21)+0.07*(6-R21),2)</x:f>
        <x:v>3.97</x:v>
      </x:c>
      <x:c r="T21" s="14" t="str">
        <x:v>低</x:v>
      </x:c>
      <x:c r="U21" s="25"/>
      <x:c r="V21" s="25"/>
      <x:c r="W21" s="25"/>
      <x:c r="X21" s="25"/>
      <x:c r="Y21" s="25"/>
      <x:c r="Z21" s="25"/>
    </x:row>
    <x:row r="22">
      <x:c r="A22" s="14" t="str">
        <x:v>PLI-021</x:v>
      </x:c>
      <x:c r="B22" s="14" t="str">
        <x:v>02 Today &amp; Daily Life</x:v>
      </x:c>
      <x:c r="C22" s="14" t="str">
        <x:v>Toilet</x:v>
      </x:c>
      <x:c r="D22" s="14" t="str">
        <x:v>排泄记录</x:v>
      </x:c>
      <x:c r="E22" s="14" t="str">
        <x:v>记录排尿/排便、外观、次数、异常以及多宠归属。</x:v>
      </x:c>
      <x:c r="F22" s="14" t="str">
        <x:v>宠主</x:v>
      </x:c>
      <x:c r="G22" s="14" t="str">
        <x:v>可选图像结构化</x:v>
      </x:c>
      <x:c r="H22" s="14" t="str">
        <x:v>是</x:v>
      </x:c>
      <x:c r="I22" s="14" t="str">
        <x:v>EliminationEvent</x:v>
      </x:c>
      <x:c r="J22" s="14" t="str"/>
      <x:c r="K22" s="14" t="str">
        <x:v>v0.1</x:v>
      </x:c>
      <x:c r="L22" s="14" t="str">
        <x:v>P0</x:v>
      </x:c>
      <x:c r="M22" s="14" t="n">
        <x:v>4</x:v>
      </x:c>
      <x:c r="N22" s="14" t="n">
        <x:v>5</x:v>
      </x:c>
      <x:c r="O22" s="14" t="n">
        <x:v>5</x:v>
      </x:c>
      <x:c r="P22" s="14" t="n">
        <x:v>2</x:v>
      </x:c>
      <x:c r="Q22" s="14" t="n">
        <x:v>3</x:v>
      </x:c>
      <x:c r="R22" s="14" t="n">
        <x:v>2</x:v>
      </x:c>
      <x:c r="S22" s="14" t="n">
        <x:f>ROUND(0.22*M22+0.28*N22+0.20*O22+0.15*P22+0.08*(6-Q22)+0.07*(6-R22),2)</x:f>
        <x:v>4.1</x:v>
      </x:c>
      <x:c r="T22" s="14" t="str">
        <x:v>低</x:v>
      </x:c>
      <x:c r="U22" s="25"/>
      <x:c r="V22" s="25"/>
      <x:c r="W22" s="25"/>
      <x:c r="X22" s="25"/>
      <x:c r="Y22" s="25"/>
      <x:c r="Z22" s="25"/>
    </x:row>
    <x:row r="23">
      <x:c r="A23" s="14" t="str">
        <x:v>PLI-022</x:v>
      </x:c>
      <x:c r="B23" s="14" t="str">
        <x:v>02 Today &amp; Daily Life</x:v>
      </x:c>
      <x:c r="C23" s="14" t="str">
        <x:v>Walk</x:v>
      </x:c>
      <x:c r="D23" s="14" t="str">
        <x:v>散步与户外活动</x:v>
      </x:c>
      <x:c r="E23" s="14" t="str">
        <x:v>记录时长、距离、排泄、训练或异常事件，不依赖地图业务。</x:v>
      </x:c>
      <x:c r="F23" s="14" t="str">
        <x:v>宠主</x:v>
      </x:c>
      <x:c r="G23" s="14" t="str">
        <x:v>无/规则</x:v>
      </x:c>
      <x:c r="H23" s="14" t="str">
        <x:v>否</x:v>
      </x:c>
      <x:c r="I23" s="14" t="str">
        <x:v>WalkEvent</x:v>
      </x:c>
      <x:c r="J23" s="14" t="str"/>
      <x:c r="K23" s="14" t="str">
        <x:v>v0.1</x:v>
      </x:c>
      <x:c r="L23" s="14" t="str">
        <x:v>P0</x:v>
      </x:c>
      <x:c r="M23" s="14" t="n">
        <x:v>4</x:v>
      </x:c>
      <x:c r="N23" s="14" t="n">
        <x:v>5</x:v>
      </x:c>
      <x:c r="O23" s="14" t="n">
        <x:v>4</x:v>
      </x:c>
      <x:c r="P23" s="14" t="n">
        <x:v>2</x:v>
      </x:c>
      <x:c r="Q23" s="14" t="n">
        <x:v>2</x:v>
      </x:c>
      <x:c r="R23" s="14" t="n">
        <x:v>1</x:v>
      </x:c>
      <x:c r="S23" s="14" t="n">
        <x:f>ROUND(0.22*M23+0.28*N23+0.20*O23+0.15*P23+0.08*(6-Q23)+0.07*(6-R23),2)</x:f>
        <x:v>4.05</x:v>
      </x:c>
      <x:c r="T23" s="14" t="str">
        <x:v>低</x:v>
      </x:c>
      <x:c r="U23" s="25"/>
      <x:c r="V23" s="25"/>
      <x:c r="W23" s="25"/>
      <x:c r="X23" s="25"/>
      <x:c r="Y23" s="25"/>
      <x:c r="Z23" s="25"/>
    </x:row>
    <x:row r="24">
      <x:c r="A24" s="14" t="str">
        <x:v>PLI-023</x:v>
      </x:c>
      <x:c r="B24" s="14" t="str">
        <x:v>02 Today &amp; Daily Life</x:v>
      </x:c>
      <x:c r="C24" s="14" t="str">
        <x:v>Play</x:v>
      </x:c>
      <x:c r="D24" s="14" t="str">
        <x:v>玩耍与丰富化记录</x:v>
      </x:c>
      <x:c r="E24" s="14" t="str">
        <x:v>记录玩耍类型、时长、宠物主动性及互动对象。</x:v>
      </x:c>
      <x:c r="F24" s="14" t="str">
        <x:v>宠主</x:v>
      </x:c>
      <x:c r="G24" s="14" t="str">
        <x:v>无/规则</x:v>
      </x:c>
      <x:c r="H24" s="14" t="str">
        <x:v>否</x:v>
      </x:c>
      <x:c r="I24" s="14" t="str">
        <x:v>PlayEvent</x:v>
      </x:c>
      <x:c r="J24" s="14" t="str"/>
      <x:c r="K24" s="14" t="str">
        <x:v>v0.1</x:v>
      </x:c>
      <x:c r="L24" s="14" t="str">
        <x:v>P0</x:v>
      </x:c>
      <x:c r="M24" s="14" t="n">
        <x:v>4</x:v>
      </x:c>
      <x:c r="N24" s="14" t="n">
        <x:v>4</x:v>
      </x:c>
      <x:c r="O24" s="14" t="n">
        <x:v>4</x:v>
      </x:c>
      <x:c r="P24" s="14" t="n">
        <x:v>2</x:v>
      </x:c>
      <x:c r="Q24" s="14" t="n">
        <x:v>2</x:v>
      </x:c>
      <x:c r="R24" s="14" t="n">
        <x:v>1</x:v>
      </x:c>
      <x:c r="S24" s="14" t="n">
        <x:f>ROUND(0.22*M24+0.28*N24+0.20*O24+0.15*P24+0.08*(6-Q24)+0.07*(6-R24),2)</x:f>
        <x:v>3.77</x:v>
      </x:c>
      <x:c r="T24" s="14" t="str">
        <x:v>低</x:v>
      </x:c>
      <x:c r="U24" s="25"/>
      <x:c r="V24" s="25"/>
      <x:c r="W24" s="25"/>
      <x:c r="X24" s="25"/>
      <x:c r="Y24" s="25"/>
      <x:c r="Z24" s="25"/>
    </x:row>
    <x:row r="25">
      <x:c r="A25" s="14" t="str">
        <x:v>PLI-024</x:v>
      </x:c>
      <x:c r="B25" s="14" t="str">
        <x:v>02 Today &amp; Daily Life</x:v>
      </x:c>
      <x:c r="C25" s="14" t="str">
        <x:v>Sleep</x:v>
      </x:c>
      <x:c r="D25" s="14" t="str">
        <x:v>睡眠/休息记录</x:v>
      </x:c>
      <x:c r="E25" s="14" t="str">
        <x:v>记录主人观察或设备导入的睡眠、夜醒、休息位置等。</x:v>
      </x:c>
      <x:c r="F25" s="14" t="str">
        <x:v>宠主</x:v>
      </x:c>
      <x:c r="G25" s="14" t="str">
        <x:v>无/规则</x:v>
      </x:c>
      <x:c r="H25" s="14" t="str">
        <x:v>否</x:v>
      </x:c>
      <x:c r="I25" s="14" t="str">
        <x:v>SleepEvent</x:v>
      </x:c>
      <x:c r="J25" s="14" t="str"/>
      <x:c r="K25" s="14" t="str">
        <x:v>v0.2</x:v>
      </x:c>
      <x:c r="L25" s="14" t="str">
        <x:v>P1</x:v>
      </x:c>
      <x:c r="M25" s="14" t="n">
        <x:v>4</x:v>
      </x:c>
      <x:c r="N25" s="14" t="n">
        <x:v>4</x:v>
      </x:c>
      <x:c r="O25" s="14" t="n">
        <x:v>5</x:v>
      </x:c>
      <x:c r="P25" s="14" t="n">
        <x:v>2</x:v>
      </x:c>
      <x:c r="Q25" s="14" t="n">
        <x:v>3</x:v>
      </x:c>
      <x:c r="R25" s="14" t="n">
        <x:v>1</x:v>
      </x:c>
      <x:c r="S25" s="14" t="n">
        <x:f>ROUND(0.22*M25+0.28*N25+0.20*O25+0.15*P25+0.08*(6-Q25)+0.07*(6-R25),2)</x:f>
        <x:v>3.89</x:v>
      </x:c>
      <x:c r="T25" s="14" t="str">
        <x:v>低</x:v>
      </x:c>
      <x:c r="U25" s="25"/>
      <x:c r="V25" s="25"/>
      <x:c r="W25" s="25"/>
      <x:c r="X25" s="25"/>
      <x:c r="Y25" s="25"/>
      <x:c r="Z25" s="25"/>
    </x:row>
    <x:row r="26">
      <x:c r="A26" s="14" t="str">
        <x:v>PLI-025</x:v>
      </x:c>
      <x:c r="B26" s="14" t="str">
        <x:v>02 Today &amp; Daily Life</x:v>
      </x:c>
      <x:c r="C26" s="14" t="str">
        <x:v>Weight</x:v>
      </x:c>
      <x:c r="D26" s="14" t="str">
        <x:v>体重与体况趋势</x:v>
      </x:c>
      <x:c r="E26" s="14" t="str">
        <x:v>管理体重、BCS等趋势并显示与自身历史的变化。</x:v>
      </x:c>
      <x:c r="F26" s="14" t="str">
        <x:v>宠主</x:v>
      </x:c>
      <x:c r="G26" s="14" t="str">
        <x:v>趋势检测</x:v>
      </x:c>
      <x:c r="H26" s="14" t="str">
        <x:v>是</x:v>
      </x:c>
      <x:c r="I26" s="14" t="str">
        <x:v>WeightObservation</x:v>
      </x:c>
      <x:c r="J26" s="14" t="str"/>
      <x:c r="K26" s="14" t="str">
        <x:v>v0.1</x:v>
      </x:c>
      <x:c r="L26" s="14" t="str">
        <x:v>P0</x:v>
      </x:c>
      <x:c r="M26" s="14" t="n">
        <x:v>3</x:v>
      </x:c>
      <x:c r="N26" s="14" t="n">
        <x:v>5</x:v>
      </x:c>
      <x:c r="O26" s="14" t="n">
        <x:v>5</x:v>
      </x:c>
      <x:c r="P26" s="14" t="n">
        <x:v>3</x:v>
      </x:c>
      <x:c r="Q26" s="14" t="n">
        <x:v>2</x:v>
      </x:c>
      <x:c r="R26" s="14" t="n">
        <x:v>2</x:v>
      </x:c>
      <x:c r="S26" s="14" t="n">
        <x:f>ROUND(0.22*M26+0.28*N26+0.20*O26+0.15*P26+0.08*(6-Q26)+0.07*(6-R26),2)</x:f>
        <x:v>4.11</x:v>
      </x:c>
      <x:c r="T26" s="14" t="str">
        <x:v>低</x:v>
      </x:c>
      <x:c r="U26" s="25"/>
      <x:c r="V26" s="25"/>
      <x:c r="W26" s="25"/>
      <x:c r="X26" s="25"/>
      <x:c r="Y26" s="25"/>
      <x:c r="Z26" s="25"/>
    </x:row>
    <x:row r="27">
      <x:c r="A27" s="14" t="str">
        <x:v>PLI-026</x:v>
      </x:c>
      <x:c r="B27" s="14" t="str">
        <x:v>02 Today &amp; Daily Life</x:v>
      </x:c>
      <x:c r="C27" s="14" t="str">
        <x:v>Tasks</x:v>
      </x:c>
      <x:c r="D27" s="14" t="str">
        <x:v>照护任务</x:v>
      </x:c>
      <x:c r="E27" s="14" t="str">
        <x:v>建立一次性/重复喂药、喂食、护理、训练、清洁等任务。</x:v>
      </x:c>
      <x:c r="F27" s="14" t="str">
        <x:v>宠主</x:v>
      </x:c>
      <x:c r="G27" s="14" t="str">
        <x:v>无/规则</x:v>
      </x:c>
      <x:c r="H27" s="14" t="str">
        <x:v>否</x:v>
      </x:c>
      <x:c r="I27" s="14" t="str">
        <x:v>CareTaskCreated</x:v>
      </x:c>
      <x:c r="J27" s="14" t="str"/>
      <x:c r="K27" s="14" t="str">
        <x:v>v0.1</x:v>
      </x:c>
      <x:c r="L27" s="14" t="str">
        <x:v>P0</x:v>
      </x:c>
      <x:c r="M27" s="14" t="n">
        <x:v>5</x:v>
      </x:c>
      <x:c r="N27" s="14" t="n">
        <x:v>5</x:v>
      </x:c>
      <x:c r="O27" s="14" t="n">
        <x:v>4</x:v>
      </x:c>
      <x:c r="P27" s="14" t="n">
        <x:v>2</x:v>
      </x:c>
      <x:c r="Q27" s="14" t="n">
        <x:v>2</x:v>
      </x:c>
      <x:c r="R27" s="14" t="n">
        <x:v>1</x:v>
      </x:c>
      <x:c r="S27" s="14" t="n">
        <x:f>ROUND(0.22*M27+0.28*N27+0.20*O27+0.15*P27+0.08*(6-Q27)+0.07*(6-R27),2)</x:f>
        <x:v>4.27</x:v>
      </x:c>
      <x:c r="T27" s="14" t="str">
        <x:v>低</x:v>
      </x:c>
      <x:c r="U27" s="25"/>
      <x:c r="V27" s="25"/>
      <x:c r="W27" s="25"/>
      <x:c r="X27" s="25"/>
      <x:c r="Y27" s="25"/>
      <x:c r="Z27" s="25"/>
    </x:row>
    <x:row r="28">
      <x:c r="A28" s="14" t="str">
        <x:v>PLI-027</x:v>
      </x:c>
      <x:c r="B28" s="14" t="str">
        <x:v>02 Today &amp; Daily Life</x:v>
      </x:c>
      <x:c r="C28" s="14" t="str">
        <x:v>Tasks</x:v>
      </x:c>
      <x:c r="D28" s="14" t="str">
        <x:v>完成与责任人</x:v>
      </x:c>
      <x:c r="E28" s="14" t="str">
        <x:v>任务记录谁在何时完成，支持家庭共同照护。</x:v>
      </x:c>
      <x:c r="F28" s="14" t="str">
        <x:v>宠主</x:v>
      </x:c>
      <x:c r="G28" s="14" t="str">
        <x:v>无/规则</x:v>
      </x:c>
      <x:c r="H28" s="14" t="str">
        <x:v>否</x:v>
      </x:c>
      <x:c r="I28" s="14" t="str">
        <x:v>CareTaskCompleted</x:v>
      </x:c>
      <x:c r="J28" s="14" t="str">
        <x:v>照护任务</x:v>
      </x:c>
      <x:c r="K28" s="14" t="str">
        <x:v>v0.1</x:v>
      </x:c>
      <x:c r="L28" s="14" t="str">
        <x:v>P0</x:v>
      </x:c>
      <x:c r="M28" s="14" t="n">
        <x:v>5</x:v>
      </x:c>
      <x:c r="N28" s="14" t="n">
        <x:v>5</x:v>
      </x:c>
      <x:c r="O28" s="14" t="n">
        <x:v>5</x:v>
      </x:c>
      <x:c r="P28" s="14" t="n">
        <x:v>2</x:v>
      </x:c>
      <x:c r="Q28" s="14" t="n">
        <x:v>2</x:v>
      </x:c>
      <x:c r="R28" s="14" t="n">
        <x:v>1</x:v>
      </x:c>
      <x:c r="S28" s="14" t="n">
        <x:f>ROUND(0.22*M28+0.28*N28+0.20*O28+0.15*P28+0.08*(6-Q28)+0.07*(6-R28),2)</x:f>
        <x:v>4.47</x:v>
      </x:c>
      <x:c r="T28" s="14" t="str">
        <x:v>低</x:v>
      </x:c>
      <x:c r="U28" s="25"/>
      <x:c r="V28" s="25"/>
      <x:c r="W28" s="25"/>
      <x:c r="X28" s="25"/>
      <x:c r="Y28" s="25"/>
      <x:c r="Z28" s="25"/>
    </x:row>
    <x:row r="29">
      <x:c r="A29" s="14" t="str">
        <x:v>PLI-028</x:v>
      </x:c>
      <x:c r="B29" s="14" t="str">
        <x:v>02 Today &amp; Daily Life</x:v>
      </x:c>
      <x:c r="C29" s="14" t="str">
        <x:v>Tasks</x:v>
      </x:c>
      <x:c r="D29" s="14" t="str">
        <x:v>重复执行冲突提醒</x:v>
      </x:c>
      <x:c r="E29" s="14" t="str">
        <x:v>检测同一餐、同一药物、同一任务被重复执行的风险。</x:v>
      </x:c>
      <x:c r="F29" s="14" t="str">
        <x:v>宠主</x:v>
      </x:c>
      <x:c r="G29" s="14" t="str">
        <x:v>规则/冲突检测</x:v>
      </x:c>
      <x:c r="H29" s="14" t="str">
        <x:v>规则为主</x:v>
      </x:c>
      <x:c r="I29" s="14" t="str">
        <x:v>CareConflictDetected</x:v>
      </x:c>
      <x:c r="J29" s="14" t="str">
        <x:v>完成与责任人</x:v>
      </x:c>
      <x:c r="K29" s="14" t="str">
        <x:v>v0.1</x:v>
      </x:c>
      <x:c r="L29" s="14" t="str">
        <x:v>P0</x:v>
      </x:c>
      <x:c r="M29" s="14" t="n">
        <x:v>4</x:v>
      </x:c>
      <x:c r="N29" s="14" t="n">
        <x:v>5</x:v>
      </x:c>
      <x:c r="O29" s="14" t="n">
        <x:v>5</x:v>
      </x:c>
      <x:c r="P29" s="14" t="n">
        <x:v>2</x:v>
      </x:c>
      <x:c r="Q29" s="14" t="n">
        <x:v>3</x:v>
      </x:c>
      <x:c r="R29" s="14" t="n">
        <x:v>4</x:v>
      </x:c>
      <x:c r="S29" s="14" t="n">
        <x:f>ROUND(0.22*M29+0.28*N29+0.20*O29+0.15*P29+0.08*(6-Q29)+0.07*(6-R29),2)</x:f>
        <x:v>3.96</x:v>
      </x:c>
      <x:c r="T29" s="14" t="str">
        <x:v>中</x:v>
      </x:c>
      <x:c r="U29" s="25"/>
      <x:c r="V29" s="25"/>
      <x:c r="W29" s="25"/>
      <x:c r="X29" s="25"/>
      <x:c r="Y29" s="25"/>
      <x:c r="Z29" s="25"/>
    </x:row>
    <x:row r="30">
      <x:c r="A30" s="14" t="str">
        <x:v>PLI-029</x:v>
      </x:c>
      <x:c r="B30" s="14" t="str">
        <x:v>02 Today &amp; Daily Life</x:v>
      </x:c>
      <x:c r="C30" s="14" t="str">
        <x:v>Routine</x:v>
      </x:c>
      <x:c r="D30" s="14" t="str">
        <x:v>个体日常基线</x:v>
      </x:c>
      <x:c r="E30" s="14" t="str">
        <x:v>学习常见喂食、睡眠、活动、排泄节律，先用于趋势展示。</x:v>
      </x:c>
      <x:c r="F30" s="14" t="str">
        <x:v>宠主</x:v>
      </x:c>
      <x:c r="G30" s="14" t="str">
        <x:v>时间序列/基线</x:v>
      </x:c>
      <x:c r="H30" s="14" t="str">
        <x:v>是</x:v>
      </x:c>
      <x:c r="I30" s="14" t="str">
        <x:v>BaselineUpdated</x:v>
      </x:c>
      <x:c r="J30" s="14" t="str"/>
      <x:c r="K30" s="14" t="str">
        <x:v>v0.2</x:v>
      </x:c>
      <x:c r="L30" s="14" t="str">
        <x:v>P1</x:v>
      </x:c>
      <x:c r="M30" s="14" t="n">
        <x:v>5</x:v>
      </x:c>
      <x:c r="N30" s="14" t="n">
        <x:v>5</x:v>
      </x:c>
      <x:c r="O30" s="14" t="n">
        <x:v>5</x:v>
      </x:c>
      <x:c r="P30" s="14" t="n">
        <x:v>3</x:v>
      </x:c>
      <x:c r="Q30" s="14" t="n">
        <x:v>4</x:v>
      </x:c>
      <x:c r="R30" s="14" t="n">
        <x:v>2</x:v>
      </x:c>
      <x:c r="S30" s="14" t="n">
        <x:f>ROUND(0.22*M30+0.28*N30+0.20*O30+0.15*P30+0.08*(6-Q30)+0.07*(6-R30),2)</x:f>
        <x:v>4.39</x:v>
      </x:c>
      <x:c r="T30" s="14" t="str">
        <x:v>低</x:v>
      </x:c>
      <x:c r="U30" s="25"/>
      <x:c r="V30" s="25"/>
      <x:c r="W30" s="25"/>
      <x:c r="X30" s="25"/>
      <x:c r="Y30" s="25"/>
      <x:c r="Z30" s="25"/>
    </x:row>
    <x:row r="31">
      <x:c r="A31" s="14" t="str">
        <x:v>PLI-030</x:v>
      </x:c>
      <x:c r="B31" s="14" t="str">
        <x:v>02 Today &amp; Daily Life</x:v>
      </x:c>
      <x:c r="C31" s="14" t="str">
        <x:v>Routine</x:v>
      </x:c>
      <x:c r="D31" s="14" t="str">
        <x:v>异常日提示</x:v>
      </x:c>
      <x:c r="E31" s="14" t="str">
        <x:v>当多个日常指标显著偏离个体基线时提示“今天与平时不同”，不直接诊断。</x:v>
      </x:c>
      <x:c r="F31" s="14" t="str">
        <x:v>宠主</x:v>
      </x:c>
      <x:c r="G31" s="14" t="str">
        <x:v>异常检测</x:v>
      </x:c>
      <x:c r="H31" s="14" t="str">
        <x:v>是</x:v>
      </x:c>
      <x:c r="I31" s="14" t="str">
        <x:v>BaselineDeviation</x:v>
      </x:c>
      <x:c r="J31" s="14" t="str">
        <x:v>个体日常基线</x:v>
      </x:c>
      <x:c r="K31" s="14" t="str">
        <x:v>v1.0</x:v>
      </x:c>
      <x:c r="L31" s="14" t="str">
        <x:v>P2</x:v>
      </x:c>
      <x:c r="M31" s="14" t="n">
        <x:v>4</x:v>
      </x:c>
      <x:c r="N31" s="14" t="n">
        <x:v>5</x:v>
      </x:c>
      <x:c r="O31" s="14" t="n">
        <x:v>5</x:v>
      </x:c>
      <x:c r="P31" s="14" t="n">
        <x:v>3</x:v>
      </x:c>
      <x:c r="Q31" s="14" t="n">
        <x:v>4</x:v>
      </x:c>
      <x:c r="R31" s="14" t="n">
        <x:v>3</x:v>
      </x:c>
      <x:c r="S31" s="14" t="n">
        <x:f>ROUND(0.22*M31+0.28*N31+0.20*O31+0.15*P31+0.08*(6-Q31)+0.07*(6-R31),2)</x:f>
        <x:v>4.1</x:v>
      </x:c>
      <x:c r="T31" s="14" t="str">
        <x:v>中</x:v>
      </x:c>
      <x:c r="U31" s="25"/>
      <x:c r="V31" s="25"/>
      <x:c r="W31" s="25"/>
      <x:c r="X31" s="25"/>
      <x:c r="Y31" s="25"/>
      <x:c r="Z31" s="25"/>
    </x:row>
    <x:row r="32">
      <x:c r="A32" s="14" t="str">
        <x:v>PLI-031</x:v>
      </x:c>
      <x:c r="B32" s="14" t="str">
        <x:v>02 Today &amp; Daily Life</x:v>
      </x:c>
      <x:c r="C32" s="14" t="str">
        <x:v>Notes</x:v>
      </x:c>
      <x:c r="D32" s="14" t="str">
        <x:v>自由文本/语音日记</x:v>
      </x:c>
      <x:c r="E32" s="14" t="str">
        <x:v>主人用文字或语音记录今天发生的事，AI结构化为候选事件。</x:v>
      </x:c>
      <x:c r="F32" s="14" t="str">
        <x:v>宠主</x:v>
      </x:c>
      <x:c r="G32" s="14" t="str">
        <x:v>ASR+信息抽取</x:v>
      </x:c>
      <x:c r="H32" s="14" t="str">
        <x:v>是</x:v>
      </x:c>
      <x:c r="I32" s="14" t="str">
        <x:v>OwnerNote</x:v>
      </x:c>
      <x:c r="J32" s="14" t="str"/>
      <x:c r="K32" s="14" t="str">
        <x:v>v0.2</x:v>
      </x:c>
      <x:c r="L32" s="14" t="str">
        <x:v>P1</x:v>
      </x:c>
      <x:c r="M32" s="14" t="n">
        <x:v>3</x:v>
      </x:c>
      <x:c r="N32" s="14" t="n">
        <x:v>4</x:v>
      </x:c>
      <x:c r="O32" s="14" t="n">
        <x:v>5</x:v>
      </x:c>
      <x:c r="P32" s="14" t="n">
        <x:v>2</x:v>
      </x:c>
      <x:c r="Q32" s="14" t="n">
        <x:v>3</x:v>
      </x:c>
      <x:c r="R32" s="14" t="n">
        <x:v>2</x:v>
      </x:c>
      <x:c r="S32" s="14" t="n">
        <x:f>ROUND(0.22*M32+0.28*N32+0.20*O32+0.15*P32+0.08*(6-Q32)+0.07*(6-R32),2)</x:f>
        <x:v>3.6</x:v>
      </x:c>
      <x:c r="T32" s="14" t="str">
        <x:v>低</x:v>
      </x:c>
      <x:c r="U32" s="25"/>
      <x:c r="V32" s="25"/>
      <x:c r="W32" s="25"/>
      <x:c r="X32" s="25"/>
      <x:c r="Y32" s="25"/>
      <x:c r="Z32" s="25"/>
    </x:row>
    <x:row r="33">
      <x:c r="A33" s="14" t="str">
        <x:v>PLI-032</x:v>
      </x:c>
      <x:c r="B33" s="14" t="str">
        <x:v>02 Today &amp; Daily Life</x:v>
      </x:c>
      <x:c r="C33" s="14" t="str">
        <x:v>Media</x:v>
      </x:c>
      <x:c r="D33" s="14" t="str">
        <x:v>照片/视频绑定事件</x:v>
      </x:c>
      <x:c r="E33" s="14" t="str">
        <x:v>媒体可绑定具体事件，不再只是孤立相册。</x:v>
      </x:c>
      <x:c r="F33" s="14" t="str">
        <x:v>宠主</x:v>
      </x:c>
      <x:c r="G33" s="14" t="str">
        <x:v>媒体分类/质量</x:v>
      </x:c>
      <x:c r="H33" s="14" t="str">
        <x:v>是</x:v>
      </x:c>
      <x:c r="I33" s="14" t="str">
        <x:v>ArtifactLinked</x:v>
      </x:c>
      <x:c r="J33" s="14" t="str"/>
      <x:c r="K33" s="14" t="str">
        <x:v>v0.1</x:v>
      </x:c>
      <x:c r="L33" s="14" t="str">
        <x:v>P0</x:v>
      </x:c>
      <x:c r="M33" s="14" t="n">
        <x:v>3</x:v>
      </x:c>
      <x:c r="N33" s="14" t="n">
        <x:v>4</x:v>
      </x:c>
      <x:c r="O33" s="14" t="n">
        <x:v>5</x:v>
      </x:c>
      <x:c r="P33" s="14" t="n">
        <x:v>2</x:v>
      </x:c>
      <x:c r="Q33" s="14" t="n">
        <x:v>2</x:v>
      </x:c>
      <x:c r="R33" s="14" t="n">
        <x:v>1</x:v>
      </x:c>
      <x:c r="S33" s="14" t="n">
        <x:f>ROUND(0.22*M33+0.28*N33+0.20*O33+0.15*P33+0.08*(6-Q33)+0.07*(6-R33),2)</x:f>
        <x:v>3.75</x:v>
      </x:c>
      <x:c r="T33" s="14" t="str">
        <x:v>低</x:v>
      </x:c>
      <x:c r="U33" s="25"/>
      <x:c r="V33" s="25"/>
      <x:c r="W33" s="25"/>
      <x:c r="X33" s="25"/>
      <x:c r="Y33" s="25"/>
      <x:c r="Z33" s="25"/>
    </x:row>
    <x:row r="34">
      <x:c r="A34" s="14" t="str">
        <x:v>PLI-033</x:v>
      </x:c>
      <x:c r="B34" s="14" t="str">
        <x:v>02 Today &amp; Daily Life</x:v>
      </x:c>
      <x:c r="C34" s="14" t="str">
        <x:v>Daily Summary</x:v>
      </x:c>
      <x:c r="D34" s="14" t="str">
        <x:v>每日AI摘要</x:v>
      </x:c>
      <x:c r="E34" s="14" t="str">
        <x:v>按真实事件生成每日摘要，明确区分事实与AI推断。</x:v>
      </x:c>
      <x:c r="F34" s="14" t="str">
        <x:v>宠主</x:v>
      </x:c>
      <x:c r="G34" s="14" t="str">
        <x:v>摘要/解释</x:v>
      </x:c>
      <x:c r="H34" s="14" t="str">
        <x:v>是</x:v>
      </x:c>
      <x:c r="I34" s="14" t="str">
        <x:v>DailySummaryGenerated</x:v>
      </x:c>
      <x:c r="J34" s="14" t="str"/>
      <x:c r="K34" s="14" t="str">
        <x:v>v0.2</x:v>
      </x:c>
      <x:c r="L34" s="14" t="str">
        <x:v>P1</x:v>
      </x:c>
      <x:c r="M34" s="14" t="n">
        <x:v>5</x:v>
      </x:c>
      <x:c r="N34" s="14" t="n">
        <x:v>4</x:v>
      </x:c>
      <x:c r="O34" s="14" t="n">
        <x:v>3</x:v>
      </x:c>
      <x:c r="P34" s="14" t="n">
        <x:v>2</x:v>
      </x:c>
      <x:c r="Q34" s="14" t="n">
        <x:v>3</x:v>
      </x:c>
      <x:c r="R34" s="14" t="n">
        <x:v>2</x:v>
      </x:c>
      <x:c r="S34" s="14" t="n">
        <x:f>ROUND(0.22*M34+0.28*N34+0.20*O34+0.15*P34+0.08*(6-Q34)+0.07*(6-R34),2)</x:f>
        <x:v>3.64</x:v>
      </x:c>
      <x:c r="T34" s="14" t="str">
        <x:v>低</x:v>
      </x:c>
      <x:c r="U34" s="25"/>
      <x:c r="V34" s="25"/>
      <x:c r="W34" s="25"/>
      <x:c r="X34" s="25"/>
      <x:c r="Y34" s="25"/>
      <x:c r="Z34" s="25"/>
    </x:row>
    <x:row r="35">
      <x:c r="A35" s="14" t="str">
        <x:v>PLI-034</x:v>
      </x:c>
      <x:c r="B35" s="14" t="str">
        <x:v>02 Today &amp; Daily Life</x:v>
      </x:c>
      <x:c r="C35" s="14" t="str">
        <x:v>Streaks</x:v>
      </x:c>
      <x:c r="D35" s="14" t="str">
        <x:v>轻量连续照护反馈</x:v>
      </x:c>
      <x:c r="E35" s="14" t="str">
        <x:v>展示连续完成关键照护天数，但避免游戏化压迫或健康焦虑。</x:v>
      </x:c>
      <x:c r="F35" s="14" t="str">
        <x:v>宠主</x:v>
      </x:c>
      <x:c r="G35" s="14" t="str">
        <x:v>无/规则</x:v>
      </x:c>
      <x:c r="H35" s="14" t="str">
        <x:v>否</x:v>
      </x:c>
      <x:c r="I35" s="14" t="str">
        <x:v>AdherenceUpdated</x:v>
      </x:c>
      <x:c r="J35" s="14" t="str"/>
      <x:c r="K35" s="14" t="str">
        <x:v>v1.0</x:v>
      </x:c>
      <x:c r="L35" s="14" t="str">
        <x:v>P2</x:v>
      </x:c>
      <x:c r="M35" s="14" t="n">
        <x:v>4</x:v>
      </x:c>
      <x:c r="N35" s="14" t="n">
        <x:v>3</x:v>
      </x:c>
      <x:c r="O35" s="14" t="n">
        <x:v>3</x:v>
      </x:c>
      <x:c r="P35" s="14" t="n">
        <x:v>2</x:v>
      </x:c>
      <x:c r="Q35" s="14" t="n">
        <x:v>2</x:v>
      </x:c>
      <x:c r="R35" s="14" t="n">
        <x:v>1</x:v>
      </x:c>
      <x:c r="S35" s="14" t="n">
        <x:f>ROUND(0.22*M35+0.28*N35+0.20*O35+0.15*P35+0.08*(6-Q35)+0.07*(6-R35),2)</x:f>
        <x:v>3.29</x:v>
      </x:c>
      <x:c r="T35" s="14" t="str">
        <x:v>低</x:v>
      </x:c>
      <x:c r="U35" s="25"/>
      <x:c r="V35" s="25"/>
      <x:c r="W35" s="25"/>
      <x:c r="X35" s="25"/>
      <x:c r="Y35" s="25"/>
      <x:c r="Z35" s="25"/>
    </x:row>
    <x:row r="36">
      <x:c r="A36" s="14" t="str">
        <x:v>PLI-035</x:v>
      </x:c>
      <x:c r="B36" s="14" t="str">
        <x:v>03 Care Network</x:v>
      </x:c>
      <x:c r="C36" s="14" t="str">
        <x:v>Household</x:v>
      </x:c>
      <x:c r="D36" s="14" t="str">
        <x:v>邀请家庭成员</x:v>
      </x:c>
      <x:c r="E36" s="14" t="str">
        <x:v>通过链接/二维码邀请家庭成员加入某只宠物的照护网络。</x:v>
      </x:c>
      <x:c r="F36" s="14" t="str">
        <x:v>宠主</x:v>
      </x:c>
      <x:c r="G36" s="14" t="str">
        <x:v>无/规则</x:v>
      </x:c>
      <x:c r="H36" s="14" t="str">
        <x:v>否</x:v>
      </x:c>
      <x:c r="I36" s="14" t="str">
        <x:v>CaregiverInvited</x:v>
      </x:c>
      <x:c r="J36" s="14" t="str"/>
      <x:c r="K36" s="14" t="str">
        <x:v>v0.1</x:v>
      </x:c>
      <x:c r="L36" s="14" t="str">
        <x:v>P0</x:v>
      </x:c>
      <x:c r="M36" s="14" t="n">
        <x:v>3</x:v>
      </x:c>
      <x:c r="N36" s="14" t="n">
        <x:v>5</x:v>
      </x:c>
      <x:c r="O36" s="14" t="n">
        <x:v>5</x:v>
      </x:c>
      <x:c r="P36" s="14" t="n">
        <x:v>2</x:v>
      </x:c>
      <x:c r="Q36" s="14" t="n">
        <x:v>2</x:v>
      </x:c>
      <x:c r="R36" s="14" t="n">
        <x:v>2</x:v>
      </x:c>
      <x:c r="S36" s="14" t="n">
        <x:f>ROUND(0.22*M36+0.28*N36+0.20*O36+0.15*P36+0.08*(6-Q36)+0.07*(6-R36),2)</x:f>
        <x:v>3.96</x:v>
      </x:c>
      <x:c r="T36" s="14" t="str">
        <x:v>低</x:v>
      </x:c>
      <x:c r="U36" s="25"/>
      <x:c r="V36" s="25"/>
      <x:c r="W36" s="25"/>
      <x:c r="X36" s="25"/>
      <x:c r="Y36" s="25"/>
      <x:c r="Z36" s="25"/>
    </x:row>
    <x:row r="37">
      <x:c r="A37" s="14" t="str">
        <x:v>PLI-036</x:v>
      </x:c>
      <x:c r="B37" s="14" t="str">
        <x:v>03 Care Network</x:v>
      </x:c>
      <x:c r="C37" s="14" t="str">
        <x:v>Household</x:v>
      </x:c>
      <x:c r="D37" s="14" t="str">
        <x:v>家庭角色模板</x:v>
      </x:c>
      <x:c r="E37" s="14" t="str">
        <x:v>快速分配共同主人、家庭成员、儿童受限账号等权限模板。</x:v>
      </x:c>
      <x:c r="F37" s="14" t="str">
        <x:v>宠主</x:v>
      </x:c>
      <x:c r="G37" s="14" t="str">
        <x:v>无/规则</x:v>
      </x:c>
      <x:c r="H37" s="14" t="str">
        <x:v>否</x:v>
      </x:c>
      <x:c r="I37" s="14" t="str">
        <x:v>GrantChanged</x:v>
      </x:c>
      <x:c r="J37" s="14" t="str"/>
      <x:c r="K37" s="14" t="str">
        <x:v>v0.1</x:v>
      </x:c>
      <x:c r="L37" s="14" t="str">
        <x:v>P0</x:v>
      </x:c>
      <x:c r="M37" s="14" t="n">
        <x:v>3</x:v>
      </x:c>
      <x:c r="N37" s="14" t="n">
        <x:v>4</x:v>
      </x:c>
      <x:c r="O37" s="14" t="n">
        <x:v>4</x:v>
      </x:c>
      <x:c r="P37" s="14" t="n">
        <x:v>2</x:v>
      </x:c>
      <x:c r="Q37" s="14" t="n">
        <x:v>2</x:v>
      </x:c>
      <x:c r="R37" s="14" t="n">
        <x:v>2</x:v>
      </x:c>
      <x:c r="S37" s="14" t="n">
        <x:f>ROUND(0.22*M37+0.28*N37+0.20*O37+0.15*P37+0.08*(6-Q37)+0.07*(6-R37),2)</x:f>
        <x:v>3.48</x:v>
      </x:c>
      <x:c r="T37" s="14" t="str">
        <x:v>低</x:v>
      </x:c>
      <x:c r="U37" s="25"/>
      <x:c r="V37" s="25"/>
      <x:c r="W37" s="25"/>
      <x:c r="X37" s="25"/>
      <x:c r="Y37" s="25"/>
      <x:c r="Z37" s="25"/>
    </x:row>
    <x:row r="38">
      <x:c r="A38" s="14" t="str">
        <x:v>PLI-037</x:v>
      </x:c>
      <x:c r="B38" s="14" t="str">
        <x:v>03 Care Network</x:v>
      </x:c>
      <x:c r="C38" s="14" t="str">
        <x:v>Handoff</x:v>
      </x:c>
      <x:c r="D38" s="14" t="str">
        <x:v>照护交接模式</x:v>
      </x:c>
      <x:c r="E38" s="14" t="str">
        <x:v>主人出差/住院/临时外出时建立明确的交接起止时间与责任人。</x:v>
      </x:c>
      <x:c r="F38" s="14" t="str">
        <x:v>宠主</x:v>
      </x:c>
      <x:c r="G38" s="14" t="str">
        <x:v>无/规则</x:v>
      </x:c>
      <x:c r="H38" s="14" t="str">
        <x:v>否</x:v>
      </x:c>
      <x:c r="I38" s="14" t="str">
        <x:v>CareHandoffStarted</x:v>
      </x:c>
      <x:c r="J38" s="14" t="str"/>
      <x:c r="K38" s="14" t="str">
        <x:v>v0.1</x:v>
      </x:c>
      <x:c r="L38" s="14" t="str">
        <x:v>P0</x:v>
      </x:c>
      <x:c r="M38" s="14" t="n">
        <x:v>2</x:v>
      </x:c>
      <x:c r="N38" s="14" t="n">
        <x:v>5</x:v>
      </x:c>
      <x:c r="O38" s="14" t="n">
        <x:v>5</x:v>
      </x:c>
      <x:c r="P38" s="14" t="n">
        <x:v>3</x:v>
      </x:c>
      <x:c r="Q38" s="14" t="n">
        <x:v>3</x:v>
      </x:c>
      <x:c r="R38" s="14" t="n">
        <x:v>3</x:v>
      </x:c>
      <x:c r="S38" s="14" t="n">
        <x:f>ROUND(0.22*M38+0.28*N38+0.20*O38+0.15*P38+0.08*(6-Q38)+0.07*(6-R38),2)</x:f>
        <x:v>3.74</x:v>
      </x:c>
      <x:c r="T38" s="14" t="str">
        <x:v>低</x:v>
      </x:c>
      <x:c r="U38" s="25"/>
      <x:c r="V38" s="25"/>
      <x:c r="W38" s="25"/>
      <x:c r="X38" s="25"/>
      <x:c r="Y38" s="25"/>
      <x:c r="Z38" s="25"/>
    </x:row>
    <x:row r="39">
      <x:c r="A39" s="14" t="str">
        <x:v>PLI-038</x:v>
      </x:c>
      <x:c r="B39" s="14" t="str">
        <x:v>03 Care Network</x:v>
      </x:c>
      <x:c r="C39" s="14" t="str">
        <x:v>Handoff</x:v>
      </x:c>
      <x:c r="D39" s="14" t="str">
        <x:v>自动生成Care Card</x:v>
      </x:c>
      <x:c r="E39" s="14" t="str">
        <x:v>从饮食、药物、行为、作息、联系人生成最小必要照护卡。</x:v>
      </x:c>
      <x:c r="F39" s="14" t="str">
        <x:v>宠主</x:v>
      </x:c>
      <x:c r="G39" s="14" t="str">
        <x:v>摘要/字段选择</x:v>
      </x:c>
      <x:c r="H39" s="14" t="str">
        <x:v>是</x:v>
      </x:c>
      <x:c r="I39" s="14" t="str">
        <x:v>CareCardGenerated</x:v>
      </x:c>
      <x:c r="J39" s="14" t="str">
        <x:v>照护交接模式</x:v>
      </x:c>
      <x:c r="K39" s="14" t="str">
        <x:v>v0.1</x:v>
      </x:c>
      <x:c r="L39" s="14" t="str">
        <x:v>P0</x:v>
      </x:c>
      <x:c r="M39" s="14" t="n">
        <x:v>2</x:v>
      </x:c>
      <x:c r="N39" s="14" t="n">
        <x:v>5</x:v>
      </x:c>
      <x:c r="O39" s="14" t="n">
        <x:v>5</x:v>
      </x:c>
      <x:c r="P39" s="14" t="n">
        <x:v>3</x:v>
      </x:c>
      <x:c r="Q39" s="14" t="n">
        <x:v>3</x:v>
      </x:c>
      <x:c r="R39" s="14" t="n">
        <x:v>3</x:v>
      </x:c>
      <x:c r="S39" s="14" t="n">
        <x:f>ROUND(0.22*M39+0.28*N39+0.20*O39+0.15*P39+0.08*(6-Q39)+0.07*(6-R39),2)</x:f>
        <x:v>3.74</x:v>
      </x:c>
      <x:c r="T39" s="14" t="str">
        <x:v>低</x:v>
      </x:c>
      <x:c r="U39" s="25"/>
      <x:c r="V39" s="25"/>
      <x:c r="W39" s="25"/>
      <x:c r="X39" s="25"/>
      <x:c r="Y39" s="25"/>
      <x:c r="Z39" s="25"/>
    </x:row>
    <x:row r="40">
      <x:c r="A40" s="14" t="str">
        <x:v>PLI-039</x:v>
      </x:c>
      <x:c r="B40" s="14" t="str">
        <x:v>03 Care Network</x:v>
      </x:c>
      <x:c r="C40" s="14" t="str">
        <x:v>Handoff</x:v>
      </x:c>
      <x:c r="D40" s="14" t="str">
        <x:v>交接确认清单</x:v>
      </x:c>
      <x:c r="E40" s="14" t="str">
        <x:v>双方确认药品、食物、设备、禁忌、钥匙/用品等交接项。</x:v>
      </x:c>
      <x:c r="F40" s="14" t="str">
        <x:v>宠主</x:v>
      </x:c>
      <x:c r="G40" s="14" t="str">
        <x:v>无/规则</x:v>
      </x:c>
      <x:c r="H40" s="14" t="str">
        <x:v>否</x:v>
      </x:c>
      <x:c r="I40" s="14" t="str">
        <x:v>HandoffChecklistCompleted</x:v>
      </x:c>
      <x:c r="J40" s="14" t="str"/>
      <x:c r="K40" s="14" t="str">
        <x:v>v0.2</x:v>
      </x:c>
      <x:c r="L40" s="14" t="str">
        <x:v>P1</x:v>
      </x:c>
      <x:c r="M40" s="14" t="n">
        <x:v>2</x:v>
      </x:c>
      <x:c r="N40" s="14" t="n">
        <x:v>4</x:v>
      </x:c>
      <x:c r="O40" s="14" t="n">
        <x:v>4</x:v>
      </x:c>
      <x:c r="P40" s="14" t="n">
        <x:v>2</x:v>
      </x:c>
      <x:c r="Q40" s="14" t="n">
        <x:v>2</x:v>
      </x:c>
      <x:c r="R40" s="14" t="n">
        <x:v>1</x:v>
      </x:c>
      <x:c r="S40" s="14" t="n">
        <x:f>ROUND(0.22*M40+0.28*N40+0.20*O40+0.15*P40+0.08*(6-Q40)+0.07*(6-R40),2)</x:f>
        <x:v>3.33</x:v>
      </x:c>
      <x:c r="T40" s="14" t="str">
        <x:v>低</x:v>
      </x:c>
      <x:c r="U40" s="25"/>
      <x:c r="V40" s="25"/>
      <x:c r="W40" s="25"/>
      <x:c r="X40" s="25"/>
      <x:c r="Y40" s="25"/>
      <x:c r="Z40" s="25"/>
    </x:row>
    <x:row r="41">
      <x:c r="A41" s="14" t="str">
        <x:v>PLI-040</x:v>
      </x:c>
      <x:c r="B41" s="14" t="str">
        <x:v>03 Care Network</x:v>
      </x:c>
      <x:c r="C41" s="14" t="str">
        <x:v>Handoff</x:v>
      </x:c>
      <x:c r="D41" s="14" t="str">
        <x:v>照护期日报</x:v>
      </x:c>
      <x:c r="E41" s="14" t="str">
        <x:v>临时照护者用极简方式更新吃喝、排泄、活动、药物、异常。</x:v>
      </x:c>
      <x:c r="F41" s="14" t="str">
        <x:v>宠主</x:v>
      </x:c>
      <x:c r="G41" s="14" t="str">
        <x:v>无/规则</x:v>
      </x:c>
      <x:c r="H41" s="14" t="str">
        <x:v>否</x:v>
      </x:c>
      <x:c r="I41" s="14" t="str">
        <x:v>CareShiftReport</x:v>
      </x:c>
      <x:c r="J41" s="14" t="str"/>
      <x:c r="K41" s="14" t="str">
        <x:v>v0.2</x:v>
      </x:c>
      <x:c r="L41" s="14" t="str">
        <x:v>P1</x:v>
      </x:c>
      <x:c r="M41" s="14" t="n">
        <x:v>4</x:v>
      </x:c>
      <x:c r="N41" s="14" t="n">
        <x:v>5</x:v>
      </x:c>
      <x:c r="O41" s="14" t="n">
        <x:v>5</x:v>
      </x:c>
      <x:c r="P41" s="14" t="n">
        <x:v>2</x:v>
      </x:c>
      <x:c r="Q41" s="14" t="n">
        <x:v>2</x:v>
      </x:c>
      <x:c r="R41" s="14" t="n">
        <x:v>1</x:v>
      </x:c>
      <x:c r="S41" s="14" t="n">
        <x:f>ROUND(0.22*M41+0.28*N41+0.20*O41+0.15*P41+0.08*(6-Q41)+0.07*(6-R41),2)</x:f>
        <x:v>4.25</x:v>
      </x:c>
      <x:c r="T41" s="14" t="str">
        <x:v>低</x:v>
      </x:c>
      <x:c r="U41" s="25"/>
      <x:c r="V41" s="25"/>
      <x:c r="W41" s="25"/>
      <x:c r="X41" s="25"/>
      <x:c r="Y41" s="25"/>
      <x:c r="Z41" s="25"/>
    </x:row>
    <x:row r="42">
      <x:c r="A42" s="14" t="str">
        <x:v>PLI-041</x:v>
      </x:c>
      <x:c r="B42" s="14" t="str">
        <x:v>03 Care Network</x:v>
      </x:c>
      <x:c r="C42" s="14" t="str">
        <x:v>Handoff</x:v>
      </x:c>
      <x:c r="D42" s="14" t="str">
        <x:v>照护结束总结</x:v>
      </x:c>
      <x:c r="E42" s="14" t="str">
        <x:v>结束后自动汇总执行率、异常、适应情况和未完成事项。</x:v>
      </x:c>
      <x:c r="F42" s="14" t="str">
        <x:v>宠主</x:v>
      </x:c>
      <x:c r="G42" s="14" t="str">
        <x:v>摘要</x:v>
      </x:c>
      <x:c r="H42" s="14" t="str">
        <x:v>是</x:v>
      </x:c>
      <x:c r="I42" s="14" t="str">
        <x:v>CareHandoffEnded</x:v>
      </x:c>
      <x:c r="J42" s="14" t="str"/>
      <x:c r="K42" s="14" t="str">
        <x:v>v0.2</x:v>
      </x:c>
      <x:c r="L42" s="14" t="str">
        <x:v>P1</x:v>
      </x:c>
      <x:c r="M42" s="14" t="n">
        <x:v>2</x:v>
      </x:c>
      <x:c r="N42" s="14" t="n">
        <x:v>4</x:v>
      </x:c>
      <x:c r="O42" s="14" t="n">
        <x:v>5</x:v>
      </x:c>
      <x:c r="P42" s="14" t="n">
        <x:v>2</x:v>
      </x:c>
      <x:c r="Q42" s="14" t="n">
        <x:v>3</x:v>
      </x:c>
      <x:c r="R42" s="14" t="n">
        <x:v>1</x:v>
      </x:c>
      <x:c r="S42" s="14" t="n">
        <x:f>ROUND(0.22*M42+0.28*N42+0.20*O42+0.15*P42+0.08*(6-Q42)+0.07*(6-R42),2)</x:f>
        <x:v>3.45</x:v>
      </x:c>
      <x:c r="T42" s="14" t="str">
        <x:v>低</x:v>
      </x:c>
      <x:c r="U42" s="25"/>
      <x:c r="V42" s="25"/>
      <x:c r="W42" s="25"/>
      <x:c r="X42" s="25"/>
      <x:c r="Y42" s="25"/>
      <x:c r="Z42" s="25"/>
    </x:row>
    <x:row r="43">
      <x:c r="A43" s="14" t="str">
        <x:v>PLI-042</x:v>
      </x:c>
      <x:c r="B43" s="14" t="str">
        <x:v>03 Care Network</x:v>
      </x:c>
      <x:c r="C43" s="14" t="str">
        <x:v>Responsibility</x:v>
      </x:c>
      <x:c r="D43" s="14" t="str">
        <x:v>任务责任矩阵</x:v>
      </x:c>
      <x:c r="E43" s="14" t="str">
        <x:v>针对家庭常规任务指定默认责任人和备用人。</x:v>
      </x:c>
      <x:c r="F43" s="14" t="str">
        <x:v>宠主</x:v>
      </x:c>
      <x:c r="G43" s="14" t="str">
        <x:v>无/规则</x:v>
      </x:c>
      <x:c r="H43" s="14" t="str">
        <x:v>否</x:v>
      </x:c>
      <x:c r="I43" s="14" t="str">
        <x:v>CareResponsibilitySet</x:v>
      </x:c>
      <x:c r="J43" s="14" t="str"/>
      <x:c r="K43" s="14" t="str">
        <x:v>v0.2</x:v>
      </x:c>
      <x:c r="L43" s="14" t="str">
        <x:v>P1</x:v>
      </x:c>
      <x:c r="M43" s="14" t="n">
        <x:v>4</x:v>
      </x:c>
      <x:c r="N43" s="14" t="n">
        <x:v>4</x:v>
      </x:c>
      <x:c r="O43" s="14" t="n">
        <x:v>4</x:v>
      </x:c>
      <x:c r="P43" s="14" t="n">
        <x:v>2</x:v>
      </x:c>
      <x:c r="Q43" s="14" t="n">
        <x:v>3</x:v>
      </x:c>
      <x:c r="R43" s="14" t="n">
        <x:v>1</x:v>
      </x:c>
      <x:c r="S43" s="14" t="n">
        <x:f>ROUND(0.22*M43+0.28*N43+0.20*O43+0.15*P43+0.08*(6-Q43)+0.07*(6-R43),2)</x:f>
        <x:v>3.69</x:v>
      </x:c>
      <x:c r="T43" s="14" t="str">
        <x:v>低</x:v>
      </x:c>
      <x:c r="U43" s="25"/>
      <x:c r="V43" s="25"/>
      <x:c r="W43" s="25"/>
      <x:c r="X43" s="25"/>
      <x:c r="Y43" s="25"/>
      <x:c r="Z43" s="25"/>
    </x:row>
    <x:row r="44">
      <x:c r="A44" s="14" t="str">
        <x:v>PLI-043</x:v>
      </x:c>
      <x:c r="B44" s="14" t="str">
        <x:v>03 Care Network</x:v>
      </x:c>
      <x:c r="C44" s="14" t="str">
        <x:v>Responsibility</x:v>
      </x:c>
      <x:c r="D44" s="14" t="str">
        <x:v>逾期升级提醒</x:v>
      </x:c>
      <x:c r="E44" s="14" t="str">
        <x:v>关键药物/护理任务逾期后按优先级通知备用照护者。</x:v>
      </x:c>
      <x:c r="F44" s="14" t="str">
        <x:v>宠主</x:v>
      </x:c>
      <x:c r="G44" s="14" t="str">
        <x:v>规则</x:v>
      </x:c>
      <x:c r="H44" s="14" t="str">
        <x:v>规则为主</x:v>
      </x:c>
      <x:c r="I44" s="14" t="str">
        <x:v>CareTaskEscalated</x:v>
      </x:c>
      <x:c r="J44" s="14" t="str"/>
      <x:c r="K44" s="14" t="str">
        <x:v>v1.0</x:v>
      </x:c>
      <x:c r="L44" s="14" t="str">
        <x:v>P2</x:v>
      </x:c>
      <x:c r="M44" s="14" t="n">
        <x:v>3</x:v>
      </x:c>
      <x:c r="N44" s="14" t="n">
        <x:v>5</x:v>
      </x:c>
      <x:c r="O44" s="14" t="n">
        <x:v>4</x:v>
      </x:c>
      <x:c r="P44" s="14" t="n">
        <x:v>2</x:v>
      </x:c>
      <x:c r="Q44" s="14" t="n">
        <x:v>3</x:v>
      </x:c>
      <x:c r="R44" s="14" t="n">
        <x:v>3</x:v>
      </x:c>
      <x:c r="S44" s="14" t="n">
        <x:f>ROUND(0.22*M44+0.28*N44+0.20*O44+0.15*P44+0.08*(6-Q44)+0.07*(6-R44),2)</x:f>
        <x:v>3.61</x:v>
      </x:c>
      <x:c r="T44" s="14" t="str">
        <x:v>中</x:v>
      </x:c>
      <x:c r="U44" s="25"/>
      <x:c r="V44" s="25"/>
      <x:c r="W44" s="25"/>
      <x:c r="X44" s="25"/>
      <x:c r="Y44" s="25"/>
      <x:c r="Z44" s="25"/>
    </x:row>
    <x:row r="45">
      <x:c r="A45" s="14" t="str">
        <x:v>PLI-044</x:v>
      </x:c>
      <x:c r="B45" s="14" t="str">
        <x:v>03 Care Network</x:v>
      </x:c>
      <x:c r="C45" s="14" t="str">
        <x:v>Professionals</x:v>
      </x:c>
      <x:c r="D45" s="14" t="str">
        <x:v>兽医/训练师/美容师关系</x:v>
      </x:c>
      <x:c r="E45" s="14" t="str">
        <x:v>将专业服务人员作为受控关系节点加入Care Network。</x:v>
      </x:c>
      <x:c r="F45" s="14" t="str">
        <x:v>宠主</x:v>
      </x:c>
      <x:c r="G45" s="14" t="str">
        <x:v>无/规则</x:v>
      </x:c>
      <x:c r="H45" s="14" t="str">
        <x:v>否</x:v>
      </x:c>
      <x:c r="I45" s="14" t="str">
        <x:v>ProfessionalLinked</x:v>
      </x:c>
      <x:c r="J45" s="14" t="str"/>
      <x:c r="K45" s="14" t="str">
        <x:v>v1.0</x:v>
      </x:c>
      <x:c r="L45" s="14" t="str">
        <x:v>P2</x:v>
      </x:c>
      <x:c r="M45" s="14" t="n">
        <x:v>2</x:v>
      </x:c>
      <x:c r="N45" s="14" t="n">
        <x:v>4</x:v>
      </x:c>
      <x:c r="O45" s="14" t="n">
        <x:v>5</x:v>
      </x:c>
      <x:c r="P45" s="14" t="n">
        <x:v>3</x:v>
      </x:c>
      <x:c r="Q45" s="14" t="n">
        <x:v>3</x:v>
      </x:c>
      <x:c r="R45" s="14" t="n">
        <x:v>3</x:v>
      </x:c>
      <x:c r="S45" s="14" t="n">
        <x:f>ROUND(0.22*M45+0.28*N45+0.20*O45+0.15*P45+0.08*(6-Q45)+0.07*(6-R45),2)</x:f>
        <x:v>3.46</x:v>
      </x:c>
      <x:c r="T45" s="14" t="str">
        <x:v>低</x:v>
      </x:c>
      <x:c r="U45" s="25"/>
      <x:c r="V45" s="25"/>
      <x:c r="W45" s="25"/>
      <x:c r="X45" s="25"/>
      <x:c r="Y45" s="25"/>
      <x:c r="Z45" s="25"/>
    </x:row>
    <x:row r="46">
      <x:c r="A46" s="14" t="str">
        <x:v>PLI-045</x:v>
      </x:c>
      <x:c r="B46" s="14" t="str">
        <x:v>03 Care Network</x:v>
      </x:c>
      <x:c r="C46" s="14" t="str">
        <x:v>Professionals</x:v>
      </x:c>
      <x:c r="D46" s="14" t="str">
        <x:v>专业记录签名来源</x:v>
      </x:c>
      <x:c r="E46" s="14" t="str">
        <x:v>专业人士提交的观察/建议带身份、机构、时间和来源等级。</x:v>
      </x:c>
      <x:c r="F46" s="14" t="str">
        <x:v>宠主</x:v>
      </x:c>
      <x:c r="G46" s="14" t="str">
        <x:v>无/规则</x:v>
      </x:c>
      <x:c r="H46" s="14" t="str">
        <x:v>否</x:v>
      </x:c>
      <x:c r="I46" s="14" t="str">
        <x:v>ProfessionalObservation</x:v>
      </x:c>
      <x:c r="J46" s="14" t="str"/>
      <x:c r="K46" s="14" t="str">
        <x:v>v1.0</x:v>
      </x:c>
      <x:c r="L46" s="14" t="str">
        <x:v>P2</x:v>
      </x:c>
      <x:c r="M46" s="14" t="n">
        <x:v>2</x:v>
      </x:c>
      <x:c r="N46" s="14" t="n">
        <x:v>5</x:v>
      </x:c>
      <x:c r="O46" s="14" t="n">
        <x:v>5</x:v>
      </x:c>
      <x:c r="P46" s="14" t="n">
        <x:v>3</x:v>
      </x:c>
      <x:c r="Q46" s="14" t="n">
        <x:v>4</x:v>
      </x:c>
      <x:c r="R46" s="14" t="n">
        <x:v>4</x:v>
      </x:c>
      <x:c r="S46" s="14" t="n">
        <x:f>ROUND(0.22*M46+0.28*N46+0.20*O46+0.15*P46+0.08*(6-Q46)+0.07*(6-R46),2)</x:f>
        <x:v>3.59</x:v>
      </x:c>
      <x:c r="T46" s="14" t="str">
        <x:v>中</x:v>
      </x:c>
      <x:c r="U46" s="25"/>
      <x:c r="V46" s="25"/>
      <x:c r="W46" s="25"/>
      <x:c r="X46" s="25"/>
      <x:c r="Y46" s="25"/>
      <x:c r="Z46" s="25"/>
    </x:row>
    <x:row r="47">
      <x:c r="A47" s="14" t="str">
        <x:v>PLI-046</x:v>
      </x:c>
      <x:c r="B47" s="14" t="str">
        <x:v>03 Care Network</x:v>
      </x:c>
      <x:c r="C47" s="14" t="str">
        <x:v>Audit</x:v>
      </x:c>
      <x:c r="D47" s="14" t="str">
        <x:v>谁看过/改过什么</x:v>
      </x:c>
      <x:c r="E47" s="14" t="str">
        <x:v>敏感操作和关键档案保留审计轨迹。</x:v>
      </x:c>
      <x:c r="F47" s="14" t="str">
        <x:v>宠主</x:v>
      </x:c>
      <x:c r="G47" s="14" t="str">
        <x:v>无/规则</x:v>
      </x:c>
      <x:c r="H47" s="14" t="str">
        <x:v>否</x:v>
      </x:c>
      <x:c r="I47" s="14" t="str">
        <x:v>AuditEvent</x:v>
      </x:c>
      <x:c r="J47" s="14" t="str"/>
      <x:c r="K47" s="14" t="str">
        <x:v>v0.1</x:v>
      </x:c>
      <x:c r="L47" s="14" t="str">
        <x:v>P0</x:v>
      </x:c>
      <x:c r="M47" s="14" t="n">
        <x:v>1</x:v>
      </x:c>
      <x:c r="N47" s="14" t="n">
        <x:v>5</x:v>
      </x:c>
      <x:c r="O47" s="14" t="n">
        <x:v>5</x:v>
      </x:c>
      <x:c r="P47" s="14" t="n">
        <x:v>1</x:v>
      </x:c>
      <x:c r="Q47" s="14" t="n">
        <x:v>3</x:v>
      </x:c>
      <x:c r="R47" s="14" t="n">
        <x:v>5</x:v>
      </x:c>
      <x:c r="S47" s="14" t="n">
        <x:f>ROUND(0.22*M47+0.28*N47+0.20*O47+0.15*P47+0.08*(6-Q47)+0.07*(6-R47),2)</x:f>
        <x:v>3.08</x:v>
      </x:c>
      <x:c r="T47" s="14" t="str">
        <x:v>高</x:v>
      </x:c>
      <x:c r="U47" s="25"/>
      <x:c r="V47" s="25"/>
      <x:c r="W47" s="25"/>
      <x:c r="X47" s="25"/>
      <x:c r="Y47" s="25"/>
      <x:c r="Z47" s="25"/>
    </x:row>
    <x:row r="48">
      <x:c r="A48" s="14" t="str">
        <x:v>PLI-047</x:v>
      </x:c>
      <x:c r="B48" s="14" t="str">
        <x:v>03 Care Network</x:v>
      </x:c>
      <x:c r="C48" s="14" t="str">
        <x:v>Notifications</x:v>
      </x:c>
      <x:c r="D48" s="14" t="str">
        <x:v>按角色通知</x:v>
      </x:c>
      <x:c r="E48" s="14" t="str">
        <x:v>主人可定义哪些事件通知谁，避免所有人被同一提醒轰炸。</x:v>
      </x:c>
      <x:c r="F48" s="14" t="str">
        <x:v>宠主</x:v>
      </x:c>
      <x:c r="G48" s="14" t="str">
        <x:v>无/规则</x:v>
      </x:c>
      <x:c r="H48" s="14" t="str">
        <x:v>否</x:v>
      </x:c>
      <x:c r="I48" s="14" t="str">
        <x:v>NotificationPolicyChanged</x:v>
      </x:c>
      <x:c r="J48" s="14" t="str"/>
      <x:c r="K48" s="14" t="str">
        <x:v>v0.2</x:v>
      </x:c>
      <x:c r="L48" s="14" t="str">
        <x:v>P1</x:v>
      </x:c>
      <x:c r="M48" s="14" t="n">
        <x:v>4</x:v>
      </x:c>
      <x:c r="N48" s="14" t="n">
        <x:v>4</x:v>
      </x:c>
      <x:c r="O48" s="14" t="n">
        <x:v>3</x:v>
      </x:c>
      <x:c r="P48" s="14" t="n">
        <x:v>2</x:v>
      </x:c>
      <x:c r="Q48" s="14" t="n">
        <x:v>3</x:v>
      </x:c>
      <x:c r="R48" s="14" t="n">
        <x:v>1</x:v>
      </x:c>
      <x:c r="S48" s="14" t="n">
        <x:f>ROUND(0.22*M48+0.28*N48+0.20*O48+0.15*P48+0.08*(6-Q48)+0.07*(6-R48),2)</x:f>
        <x:v>3.49</x:v>
      </x:c>
      <x:c r="T48" s="14" t="str">
        <x:v>低</x:v>
      </x:c>
      <x:c r="U48" s="25"/>
      <x:c r="V48" s="25"/>
      <x:c r="W48" s="25"/>
      <x:c r="X48" s="25"/>
      <x:c r="Y48" s="25"/>
      <x:c r="Z48" s="25"/>
    </x:row>
    <x:row r="49">
      <x:c r="A49" s="14" t="str">
        <x:v>PLI-048</x:v>
      </x:c>
      <x:c r="B49" s="14" t="str">
        <x:v>03 Care Network</x:v>
      </x:c>
      <x:c r="C49" s="14" t="str">
        <x:v>Emergency</x:v>
      </x:c>
      <x:c r="D49" s="14" t="str">
        <x:v>紧急授权模式</x:v>
      </x:c>
      <x:c r="E49" s="14" t="str">
        <x:v>紧急情况下展示经过主人预设的最小必要信息，并完整记录访问。</x:v>
      </x:c>
      <x:c r="F49" s="14" t="str">
        <x:v>宠主</x:v>
      </x:c>
      <x:c r="G49" s="14" t="str">
        <x:v>无/规则</x:v>
      </x:c>
      <x:c r="H49" s="14" t="str">
        <x:v>否</x:v>
      </x:c>
      <x:c r="I49" s="14" t="str">
        <x:v>EmergencyAccessGranted</x:v>
      </x:c>
      <x:c r="J49" s="14" t="str"/>
      <x:c r="K49" s="14" t="str">
        <x:v>v1.0</x:v>
      </x:c>
      <x:c r="L49" s="14" t="str">
        <x:v>P2</x:v>
      </x:c>
      <x:c r="M49" s="14" t="n">
        <x:v>1</x:v>
      </x:c>
      <x:c r="N49" s="14" t="n">
        <x:v>5</x:v>
      </x:c>
      <x:c r="O49" s="14" t="n">
        <x:v>4</x:v>
      </x:c>
      <x:c r="P49" s="14" t="n">
        <x:v>2</x:v>
      </x:c>
      <x:c r="Q49" s="14" t="n">
        <x:v>4</x:v>
      </x:c>
      <x:c r="R49" s="14" t="n">
        <x:v>5</x:v>
      </x:c>
      <x:c r="S49" s="14" t="n">
        <x:f>ROUND(0.22*M49+0.28*N49+0.20*O49+0.15*P49+0.08*(6-Q49)+0.07*(6-R49),2)</x:f>
        <x:v>2.95</x:v>
      </x:c>
      <x:c r="T49" s="14" t="str">
        <x:v>高</x:v>
      </x:c>
      <x:c r="U49" s="25"/>
      <x:c r="V49" s="25"/>
      <x:c r="W49" s="25"/>
      <x:c r="X49" s="25"/>
      <x:c r="Y49" s="25"/>
      <x:c r="Z49" s="25"/>
    </x:row>
    <x:row r="50">
      <x:c r="A50" s="14" t="str">
        <x:v>PLI-049</x:v>
      </x:c>
      <x:c r="B50" s="14" t="str">
        <x:v>04 Health</x:v>
      </x:c>
      <x:c r="C50" s="14" t="str">
        <x:v>Health Event</x:v>
      </x:c>
      <x:c r="D50" s="14" t="str">
        <x:v>发现异常入口</x:v>
      </x:c>
      <x:c r="E50" s="14" t="str">
        <x:v>通过“今天哪里不对”开始一个结构化健康事件，而非直接自由聊天。</x:v>
      </x:c>
      <x:c r="F50" s="14" t="str">
        <x:v>宠主</x:v>
      </x:c>
      <x:c r="G50" s="14" t="str">
        <x:v>无/规则</x:v>
      </x:c>
      <x:c r="H50" s="14" t="str">
        <x:v>否</x:v>
      </x:c>
      <x:c r="I50" s="14" t="str">
        <x:v>HealthEventOpened</x:v>
      </x:c>
      <x:c r="J50" s="14" t="str"/>
      <x:c r="K50" s="14" t="str">
        <x:v>v0.1</x:v>
      </x:c>
      <x:c r="L50" s="14" t="str">
        <x:v>P0</x:v>
      </x:c>
      <x:c r="M50" s="14" t="n">
        <x:v>2</x:v>
      </x:c>
      <x:c r="N50" s="14" t="n">
        <x:v>5</x:v>
      </x:c>
      <x:c r="O50" s="14" t="n">
        <x:v>5</x:v>
      </x:c>
      <x:c r="P50" s="14" t="n">
        <x:v>4</x:v>
      </x:c>
      <x:c r="Q50" s="14" t="n">
        <x:v>3</x:v>
      </x:c>
      <x:c r="R50" s="14" t="n">
        <x:v>4</x:v>
      </x:c>
      <x:c r="S50" s="14" t="n">
        <x:f>ROUND(0.22*M50+0.28*N50+0.20*O50+0.15*P50+0.08*(6-Q50)+0.07*(6-R50),2)</x:f>
        <x:v>3.82</x:v>
      </x:c>
      <x:c r="T50" s="14" t="str">
        <x:v>中</x:v>
      </x:c>
      <x:c r="U50" s="25"/>
      <x:c r="V50" s="25"/>
      <x:c r="W50" s="25"/>
      <x:c r="X50" s="25"/>
      <x:c r="Y50" s="25"/>
      <x:c r="Z50" s="25"/>
    </x:row>
    <x:row r="51">
      <x:c r="A51" s="14" t="str">
        <x:v>PLI-050</x:v>
      </x:c>
      <x:c r="B51" s="14" t="str">
        <x:v>04 Health</x:v>
      </x:c>
      <x:c r="C51" s="14" t="str">
        <x:v>Health Event</x:v>
      </x:c>
      <x:c r="D51" s="14" t="str">
        <x:v>动态追问</x:v>
      </x:c>
      <x:c r="E51" s="14" t="str">
        <x:v>根据主诉、物种和红旗规则动态生成下一步问题。</x:v>
      </x:c>
      <x:c r="F51" s="14" t="str">
        <x:v>宠主</x:v>
      </x:c>
      <x:c r="G51" s="14" t="str">
        <x:v>LLM+规则</x:v>
      </x:c>
      <x:c r="H51" s="14" t="str">
        <x:v>是</x:v>
      </x:c>
      <x:c r="I51" s="14" t="str">
        <x:v>ClinicalIntakeStep</x:v>
      </x:c>
      <x:c r="J51" s="14" t="str">
        <x:v>发现异常入口</x:v>
      </x:c>
      <x:c r="K51" s="14" t="str">
        <x:v>v0.1</x:v>
      </x:c>
      <x:c r="L51" s="14" t="str">
        <x:v>P0</x:v>
      </x:c>
      <x:c r="M51" s="14" t="n">
        <x:v>2</x:v>
      </x:c>
      <x:c r="N51" s="14" t="n">
        <x:v>5</x:v>
      </x:c>
      <x:c r="O51" s="14" t="n">
        <x:v>5</x:v>
      </x:c>
      <x:c r="P51" s="14" t="n">
        <x:v>4</x:v>
      </x:c>
      <x:c r="Q51" s="14" t="n">
        <x:v>4</x:v>
      </x:c>
      <x:c r="R51" s="14" t="n">
        <x:v>5</x:v>
      </x:c>
      <x:c r="S51" s="14" t="n">
        <x:f>ROUND(0.22*M51+0.28*N51+0.20*O51+0.15*P51+0.08*(6-Q51)+0.07*(6-R51),2)</x:f>
        <x:v>3.67</x:v>
      </x:c>
      <x:c r="T51" s="14" t="str">
        <x:v>高</x:v>
      </x:c>
      <x:c r="U51" s="25"/>
      <x:c r="V51" s="25"/>
      <x:c r="W51" s="25"/>
      <x:c r="X51" s="25"/>
      <x:c r="Y51" s="25"/>
      <x:c r="Z51" s="25"/>
    </x:row>
    <x:row r="52">
      <x:c r="A52" s="14" t="str">
        <x:v>PLI-051</x:v>
      </x:c>
      <x:c r="B52" s="14" t="str">
        <x:v>04 Health</x:v>
      </x:c>
      <x:c r="C52" s="14" t="str">
        <x:v>Evidence</x:v>
      </x:c>
      <x:c r="D52" s="14" t="str">
        <x:v>图片/视频/音频证据</x:v>
      </x:c>
      <x:c r="E52" s="14" t="str">
        <x:v>将耳朵、皮肤、步态、呼吸、呕吐等原始媒体绑定健康事件。</x:v>
      </x:c>
      <x:c r="F52" s="14" t="str">
        <x:v>宠主</x:v>
      </x:c>
      <x:c r="G52" s="14" t="str">
        <x:v>无/规则</x:v>
      </x:c>
      <x:c r="H52" s="14" t="str">
        <x:v>否</x:v>
      </x:c>
      <x:c r="I52" s="14" t="str">
        <x:v>ClinicalArtifactAdded</x:v>
      </x:c>
      <x:c r="J52" s="14" t="str"/>
      <x:c r="K52" s="14" t="str">
        <x:v>v0.1</x:v>
      </x:c>
      <x:c r="L52" s="14" t="str">
        <x:v>P0</x:v>
      </x:c>
      <x:c r="M52" s="14" t="n">
        <x:v>2</x:v>
      </x:c>
      <x:c r="N52" s="14" t="n">
        <x:v>5</x:v>
      </x:c>
      <x:c r="O52" s="14" t="n">
        <x:v>5</x:v>
      </x:c>
      <x:c r="P52" s="14" t="n">
        <x:v>3</x:v>
      </x:c>
      <x:c r="Q52" s="14" t="n">
        <x:v>3</x:v>
      </x:c>
      <x:c r="R52" s="14" t="n">
        <x:v>3</x:v>
      </x:c>
      <x:c r="S52" s="14" t="n">
        <x:f>ROUND(0.22*M52+0.28*N52+0.20*O52+0.15*P52+0.08*(6-Q52)+0.07*(6-R52),2)</x:f>
        <x:v>3.74</x:v>
      </x:c>
      <x:c r="T52" s="14" t="str">
        <x:v>中</x:v>
      </x:c>
      <x:c r="U52" s="25"/>
      <x:c r="V52" s="25"/>
      <x:c r="W52" s="25"/>
      <x:c r="X52" s="25"/>
      <x:c r="Y52" s="25"/>
      <x:c r="Z52" s="25"/>
    </x:row>
    <x:row r="53">
      <x:c r="A53" s="14" t="str">
        <x:v>PLI-052</x:v>
      </x:c>
      <x:c r="B53" s="14" t="str">
        <x:v>04 Health</x:v>
      </x:c>
      <x:c r="C53" s="14" t="str">
        <x:v>Evidence</x:v>
      </x:c>
      <x:c r="D53" s="14" t="str">
        <x:v>可观察事实提取</x:v>
      </x:c>
      <x:c r="E53" s="14" t="str">
        <x:v>AI只先提取红、肿、分泌物、跛行等事实，并给置信度。</x:v>
      </x:c>
      <x:c r="F53" s="14" t="str">
        <x:v>宠主</x:v>
      </x:c>
      <x:c r="G53" s="14" t="str">
        <x:v>多模态抽取</x:v>
      </x:c>
      <x:c r="H53" s="14" t="str">
        <x:v>是</x:v>
      </x:c>
      <x:c r="I53" s="14" t="str">
        <x:v>AIObservation</x:v>
      </x:c>
      <x:c r="J53" s="14" t="str"/>
      <x:c r="K53" s="14" t="str">
        <x:v>v0.1</x:v>
      </x:c>
      <x:c r="L53" s="14" t="str">
        <x:v>P0</x:v>
      </x:c>
      <x:c r="M53" s="14" t="n">
        <x:v>2</x:v>
      </x:c>
      <x:c r="N53" s="14" t="n">
        <x:v>5</x:v>
      </x:c>
      <x:c r="O53" s="14" t="n">
        <x:v>5</x:v>
      </x:c>
      <x:c r="P53" s="14" t="n">
        <x:v>4</x:v>
      </x:c>
      <x:c r="Q53" s="14" t="n">
        <x:v>4</x:v>
      </x:c>
      <x:c r="R53" s="14" t="n">
        <x:v>5</x:v>
      </x:c>
      <x:c r="S53" s="14" t="n">
        <x:f>ROUND(0.22*M53+0.28*N53+0.20*O53+0.15*P53+0.08*(6-Q53)+0.07*(6-R53),2)</x:f>
        <x:v>3.67</x:v>
      </x:c>
      <x:c r="T53" s="14" t="str">
        <x:v>高</x:v>
      </x:c>
      <x:c r="U53" s="25"/>
      <x:c r="V53" s="25"/>
      <x:c r="W53" s="25"/>
      <x:c r="X53" s="25"/>
      <x:c r="Y53" s="25"/>
      <x:c r="Z53" s="25"/>
    </x:row>
    <x:row r="54">
      <x:c r="A54" s="14" t="str">
        <x:v>PLI-053</x:v>
      </x:c>
      <x:c r="B54" s="14" t="str">
        <x:v>04 Health</x:v>
      </x:c>
      <x:c r="C54" s="14" t="str">
        <x:v>Safety</x:v>
      </x:c>
      <x:c r="D54" s="14" t="str">
        <x:v>红旗安全引擎</x:v>
      </x:c>
      <x:c r="E54" s="14" t="str">
        <x:v>呼吸困难、持续抽搐、猫尿闭风险等由确定性规则优先处理。</x:v>
      </x:c>
      <x:c r="F54" s="14" t="str">
        <x:v>宠主</x:v>
      </x:c>
      <x:c r="G54" s="14" t="str">
        <x:v>规则引擎</x:v>
      </x:c>
      <x:c r="H54" s="14" t="str">
        <x:v>规则为主</x:v>
      </x:c>
      <x:c r="I54" s="14" t="str">
        <x:v>RedFlagTriggered</x:v>
      </x:c>
      <x:c r="J54" s="14" t="str"/>
      <x:c r="K54" s="14" t="str">
        <x:v>v0.1</x:v>
      </x:c>
      <x:c r="L54" s="14" t="str">
        <x:v>P0</x:v>
      </x:c>
      <x:c r="M54" s="14" t="n">
        <x:v>2</x:v>
      </x:c>
      <x:c r="N54" s="14" t="n">
        <x:v>5</x:v>
      </x:c>
      <x:c r="O54" s="14" t="n">
        <x:v>5</x:v>
      </x:c>
      <x:c r="P54" s="14" t="n">
        <x:v>2</x:v>
      </x:c>
      <x:c r="Q54" s="14" t="n">
        <x:v>4</x:v>
      </x:c>
      <x:c r="R54" s="14" t="n">
        <x:v>5</x:v>
      </x:c>
      <x:c r="S54" s="14" t="n">
        <x:f>ROUND(0.22*M54+0.28*N54+0.20*O54+0.15*P54+0.08*(6-Q54)+0.07*(6-R54),2)</x:f>
        <x:v>3.37</x:v>
      </x:c>
      <x:c r="T54" s="14" t="str">
        <x:v>高</x:v>
      </x:c>
      <x:c r="U54" s="25"/>
      <x:c r="V54" s="25"/>
      <x:c r="W54" s="25"/>
      <x:c r="X54" s="25"/>
      <x:c r="Y54" s="25"/>
      <x:c r="Z54" s="25"/>
    </x:row>
    <x:row r="55">
      <x:c r="A55" s="14" t="str">
        <x:v>PLI-054</x:v>
      </x:c>
      <x:c r="B55" s="14" t="str">
        <x:v>04 Health</x:v>
      </x:c>
      <x:c r="C55" s="14" t="str">
        <x:v>Triage</x:v>
      </x:c>
      <x:c r="D55" s="14" t="str">
        <x:v>风险分级</x:v>
      </x:c>
      <x:c r="E55" s="14" t="str">
        <x:v>输出Monitor/Vet Soon/Urgent/Emergency并解释触发依据，不输出确定诊断。</x:v>
      </x:c>
      <x:c r="F55" s="14" t="str">
        <x:v>宠主</x:v>
      </x:c>
      <x:c r="G55" s="14" t="str">
        <x:v>规则+推理</x:v>
      </x:c>
      <x:c r="H55" s="14" t="str">
        <x:v>规则为主</x:v>
      </x:c>
      <x:c r="I55" s="14" t="str">
        <x:v>TriageAssigned</x:v>
      </x:c>
      <x:c r="J55" s="14" t="str">
        <x:v>红旗安全引擎</x:v>
      </x:c>
      <x:c r="K55" s="14" t="str">
        <x:v>v0.1</x:v>
      </x:c>
      <x:c r="L55" s="14" t="str">
        <x:v>P0</x:v>
      </x:c>
      <x:c r="M55" s="14" t="n">
        <x:v>2</x:v>
      </x:c>
      <x:c r="N55" s="14" t="n">
        <x:v>5</x:v>
      </x:c>
      <x:c r="O55" s="14" t="n">
        <x:v>5</x:v>
      </x:c>
      <x:c r="P55" s="14" t="n">
        <x:v>4</x:v>
      </x:c>
      <x:c r="Q55" s="14" t="n">
        <x:v>4</x:v>
      </x:c>
      <x:c r="R55" s="14" t="n">
        <x:v>5</x:v>
      </x:c>
      <x:c r="S55" s="14" t="n">
        <x:f>ROUND(0.22*M55+0.28*N55+0.20*O55+0.15*P55+0.08*(6-Q55)+0.07*(6-R55),2)</x:f>
        <x:v>3.67</x:v>
      </x:c>
      <x:c r="T55" s="14" t="str">
        <x:v>高</x:v>
      </x:c>
      <x:c r="U55" s="25"/>
      <x:c r="V55" s="25"/>
      <x:c r="W55" s="25"/>
      <x:c r="X55" s="25"/>
      <x:c r="Y55" s="25"/>
      <x:c r="Z55" s="25"/>
    </x:row>
    <x:row r="56">
      <x:c r="A56" s="14" t="str">
        <x:v>PLI-055</x:v>
      </x:c>
      <x:c r="B56" s="14" t="str">
        <x:v>04 Health</x:v>
      </x:c>
      <x:c r="C56" s="14" t="str">
        <x:v>Vet Brief</x:v>
      </x:c>
      <x:c r="D56" s="14" t="str">
        <x:v>就诊前摘要</x:v>
      </x:c>
      <x:c r="E56" s="14" t="str">
        <x:v>将宠物信息、时间线、证据、既往史、药物和分级生成可读摘要。</x:v>
      </x:c>
      <x:c r="F56" s="14" t="str">
        <x:v>宠主</x:v>
      </x:c>
      <x:c r="G56" s="14" t="str">
        <x:v>结构化摘要</x:v>
      </x:c>
      <x:c r="H56" s="14" t="str">
        <x:v>是</x:v>
      </x:c>
      <x:c r="I56" s="14" t="str">
        <x:v>VetBriefGenerated</x:v>
      </x:c>
      <x:c r="J56" s="14" t="str"/>
      <x:c r="K56" s="14" t="str">
        <x:v>v0.1</x:v>
      </x:c>
      <x:c r="L56" s="14" t="str">
        <x:v>P0</x:v>
      </x:c>
      <x:c r="M56" s="14" t="n">
        <x:v>2</x:v>
      </x:c>
      <x:c r="N56" s="14" t="n">
        <x:v>5</x:v>
      </x:c>
      <x:c r="O56" s="14" t="n">
        <x:v>5</x:v>
      </x:c>
      <x:c r="P56" s="14" t="n">
        <x:v>4</x:v>
      </x:c>
      <x:c r="Q56" s="14" t="n">
        <x:v>3</x:v>
      </x:c>
      <x:c r="R56" s="14" t="n">
        <x:v>3</x:v>
      </x:c>
      <x:c r="S56" s="14" t="n">
        <x:f>ROUND(0.22*M56+0.28*N56+0.20*O56+0.15*P56+0.08*(6-Q56)+0.07*(6-R56),2)</x:f>
        <x:v>3.89</x:v>
      </x:c>
      <x:c r="T56" s="14" t="str">
        <x:v>低</x:v>
      </x:c>
      <x:c r="U56" s="25"/>
      <x:c r="V56" s="25"/>
      <x:c r="W56" s="25"/>
      <x:c r="X56" s="25"/>
      <x:c r="Y56" s="25"/>
      <x:c r="Z56" s="25"/>
    </x:row>
    <x:row r="57">
      <x:c r="A57" s="14" t="str">
        <x:v>PLI-056</x:v>
      </x:c>
      <x:c r="B57" s="14" t="str">
        <x:v>04 Health</x:v>
      </x:c>
      <x:c r="C57" s="14" t="str">
        <x:v>Vet Brief</x:v>
      </x:c>
      <x:c r="D57" s="14" t="str">
        <x:v>分享链接/PDF</x:v>
      </x:c>
      <x:c r="E57" s="14" t="str">
        <x:v>无需医院安装软件即可查看Vet Brief，链接可撤销且有访问记录。</x:v>
      </x:c>
      <x:c r="F57" s="14" t="str">
        <x:v>宠主</x:v>
      </x:c>
      <x:c r="G57" s="14" t="str">
        <x:v>无/规则</x:v>
      </x:c>
      <x:c r="H57" s="14" t="str">
        <x:v>否</x:v>
      </x:c>
      <x:c r="I57" s="14" t="str">
        <x:v>VetBriefShared</x:v>
      </x:c>
      <x:c r="J57" s="14" t="str"/>
      <x:c r="K57" s="14" t="str">
        <x:v>v0.1</x:v>
      </x:c>
      <x:c r="L57" s="14" t="str">
        <x:v>P0</x:v>
      </x:c>
      <x:c r="M57" s="14" t="n">
        <x:v>2</x:v>
      </x:c>
      <x:c r="N57" s="14" t="n">
        <x:v>5</x:v>
      </x:c>
      <x:c r="O57" s="14" t="n">
        <x:v>4</x:v>
      </x:c>
      <x:c r="P57" s="14" t="n">
        <x:v>4</x:v>
      </x:c>
      <x:c r="Q57" s="14" t="n">
        <x:v>3</x:v>
      </x:c>
      <x:c r="R57" s="14" t="n">
        <x:v>4</x:v>
      </x:c>
      <x:c r="S57" s="14" t="n">
        <x:f>ROUND(0.22*M57+0.28*N57+0.20*O57+0.15*P57+0.08*(6-Q57)+0.07*(6-R57),2)</x:f>
        <x:v>3.62</x:v>
      </x:c>
      <x:c r="T57" s="14" t="str">
        <x:v>中</x:v>
      </x:c>
      <x:c r="U57" s="25"/>
      <x:c r="V57" s="25"/>
      <x:c r="W57" s="25"/>
      <x:c r="X57" s="25"/>
      <x:c r="Y57" s="25"/>
      <x:c r="Z57" s="25"/>
    </x:row>
    <x:row r="58">
      <x:c r="A58" s="14" t="str">
        <x:v>PLI-057</x:v>
      </x:c>
      <x:c r="B58" s="14" t="str">
        <x:v>04 Health</x:v>
      </x:c>
      <x:c r="C58" s="14" t="str">
        <x:v>Records</x:v>
      </x:c>
      <x:c r="D58" s="14" t="str">
        <x:v>病历/处方/检验导入</x:v>
      </x:c>
      <x:c r="E58" s="14" t="str">
        <x:v>拍照或上传病历、处方、化验单并保留原件。</x:v>
      </x:c>
      <x:c r="F58" s="14" t="str">
        <x:v>宠主</x:v>
      </x:c>
      <x:c r="G58" s="14" t="str">
        <x:v>OCR/文档解析</x:v>
      </x:c>
      <x:c r="H58" s="14" t="str">
        <x:v>是</x:v>
      </x:c>
      <x:c r="I58" s="14" t="str">
        <x:v>MedicalRecordImported</x:v>
      </x:c>
      <x:c r="J58" s="14" t="str"/>
      <x:c r="K58" s="14" t="str">
        <x:v>v0.2</x:v>
      </x:c>
      <x:c r="L58" s="14" t="str">
        <x:v>P1</x:v>
      </x:c>
      <x:c r="M58" s="14" t="n">
        <x:v>2</x:v>
      </x:c>
      <x:c r="N58" s="14" t="n">
        <x:v>5</x:v>
      </x:c>
      <x:c r="O58" s="14" t="n">
        <x:v>5</x:v>
      </x:c>
      <x:c r="P58" s="14" t="n">
        <x:v>4</x:v>
      </x:c>
      <x:c r="Q58" s="14" t="n">
        <x:v>4</x:v>
      </x:c>
      <x:c r="R58" s="14" t="n">
        <x:v>4</x:v>
      </x:c>
      <x:c r="S58" s="14" t="n">
        <x:f>ROUND(0.22*M58+0.28*N58+0.20*O58+0.15*P58+0.08*(6-Q58)+0.07*(6-R58),2)</x:f>
        <x:v>3.74</x:v>
      </x:c>
      <x:c r="T58" s="14" t="str">
        <x:v>高</x:v>
      </x:c>
      <x:c r="U58" s="25"/>
      <x:c r="V58" s="25"/>
      <x:c r="W58" s="25"/>
      <x:c r="X58" s="25"/>
      <x:c r="Y58" s="25"/>
      <x:c r="Z58" s="25"/>
    </x:row>
    <x:row r="59">
      <x:c r="A59" s="14" t="str">
        <x:v>PLI-058</x:v>
      </x:c>
      <x:c r="B59" s="14" t="str">
        <x:v>04 Health</x:v>
      </x:c>
      <x:c r="C59" s="14" t="str">
        <x:v>Records</x:v>
      </x:c>
      <x:c r="D59" s="14" t="str">
        <x:v>医疗结构化与来源分级</x:v>
      </x:c>
      <x:c r="E59" s="14" t="str">
        <x:v>把诊断、药物、检查结果结构化，区分主人输入、AI抽取、兽医确认、实验室确认。</x:v>
      </x:c>
      <x:c r="F59" s="14" t="str">
        <x:v>宠主</x:v>
      </x:c>
      <x:c r="G59" s="14" t="str">
        <x:v>信息抽取</x:v>
      </x:c>
      <x:c r="H59" s="14" t="str">
        <x:v>是</x:v>
      </x:c>
      <x:c r="I59" s="14" t="str">
        <x:v>ClinicalFactAdded</x:v>
      </x:c>
      <x:c r="J59" s="14" t="str"/>
      <x:c r="K59" s="14" t="str">
        <x:v>v0.2</x:v>
      </x:c>
      <x:c r="L59" s="14" t="str">
        <x:v>P1</x:v>
      </x:c>
      <x:c r="M59" s="14" t="n">
        <x:v>2</x:v>
      </x:c>
      <x:c r="N59" s="14" t="n">
        <x:v>5</x:v>
      </x:c>
      <x:c r="O59" s="14" t="n">
        <x:v>5</x:v>
      </x:c>
      <x:c r="P59" s="14" t="n">
        <x:v>4</x:v>
      </x:c>
      <x:c r="Q59" s="14" t="n">
        <x:v>4</x:v>
      </x:c>
      <x:c r="R59" s="14" t="n">
        <x:v>5</x:v>
      </x:c>
      <x:c r="S59" s="14" t="n">
        <x:f>ROUND(0.22*M59+0.28*N59+0.20*O59+0.15*P59+0.08*(6-Q59)+0.07*(6-R59),2)</x:f>
        <x:v>3.67</x:v>
      </x:c>
      <x:c r="T59" s="14" t="str">
        <x:v>高</x:v>
      </x:c>
      <x:c r="U59" s="25"/>
      <x:c r="V59" s="25"/>
      <x:c r="W59" s="25"/>
      <x:c r="X59" s="25"/>
      <x:c r="Y59" s="25"/>
      <x:c r="Z59" s="25"/>
    </x:row>
    <x:row r="60">
      <x:c r="A60" s="14" t="str">
        <x:v>PLI-059</x:v>
      </x:c>
      <x:c r="B60" s="14" t="str">
        <x:v>04 Health</x:v>
      </x:c>
      <x:c r="C60" s="14" t="str">
        <x:v>Medication</x:v>
      </x:c>
      <x:c r="D60" s="14" t="str">
        <x:v>用药计划</x:v>
      </x:c>
      <x:c r="E60" s="14" t="str">
        <x:v>记录药名、剂量、频次、疗程、注意事项和责任人。</x:v>
      </x:c>
      <x:c r="F60" s="14" t="str">
        <x:v>宠主</x:v>
      </x:c>
      <x:c r="G60" s="14" t="str">
        <x:v>无/规则</x:v>
      </x:c>
      <x:c r="H60" s="14" t="str">
        <x:v>否</x:v>
      </x:c>
      <x:c r="I60" s="14" t="str">
        <x:v>MedicationPlanCreated</x:v>
      </x:c>
      <x:c r="J60" s="14" t="str"/>
      <x:c r="K60" s="14" t="str">
        <x:v>v0.1</x:v>
      </x:c>
      <x:c r="L60" s="14" t="str">
        <x:v>P0</x:v>
      </x:c>
      <x:c r="M60" s="14" t="n">
        <x:v>3</x:v>
      </x:c>
      <x:c r="N60" s="14" t="n">
        <x:v>5</x:v>
      </x:c>
      <x:c r="O60" s="14" t="n">
        <x:v>5</x:v>
      </x:c>
      <x:c r="P60" s="14" t="n">
        <x:v>3</x:v>
      </x:c>
      <x:c r="Q60" s="14" t="n">
        <x:v>3</x:v>
      </x:c>
      <x:c r="R60" s="14" t="n">
        <x:v>5</x:v>
      </x:c>
      <x:c r="S60" s="14" t="n">
        <x:f>ROUND(0.22*M60+0.28*N60+0.20*O60+0.15*P60+0.08*(6-Q60)+0.07*(6-R60),2)</x:f>
        <x:v>3.82</x:v>
      </x:c>
      <x:c r="T60" s="14" t="str">
        <x:v>高</x:v>
      </x:c>
      <x:c r="U60" s="25"/>
      <x:c r="V60" s="25"/>
      <x:c r="W60" s="25"/>
      <x:c r="X60" s="25"/>
      <x:c r="Y60" s="25"/>
      <x:c r="Z60" s="25"/>
    </x:row>
    <x:row r="61">
      <x:c r="A61" s="14" t="str">
        <x:v>PLI-060</x:v>
      </x:c>
      <x:c r="B61" s="14" t="str">
        <x:v>04 Health</x:v>
      </x:c>
      <x:c r="C61" s="14" t="str">
        <x:v>Medication</x:v>
      </x:c>
      <x:c r="D61" s="14" t="str">
        <x:v>给药记录与遗漏提醒</x:v>
      </x:c>
      <x:c r="E61" s="14" t="str">
        <x:v>家庭成员共同记录给药，检测漏服/重复给药风险。</x:v>
      </x:c>
      <x:c r="F61" s="14" t="str">
        <x:v>宠主</x:v>
      </x:c>
      <x:c r="G61" s="14" t="str">
        <x:v>规则</x:v>
      </x:c>
      <x:c r="H61" s="14" t="str">
        <x:v>规则为主</x:v>
      </x:c>
      <x:c r="I61" s="14" t="str">
        <x:v>MedicationAdministered</x:v>
      </x:c>
      <x:c r="J61" s="14" t="str"/>
      <x:c r="K61" s="14" t="str">
        <x:v>v0.1</x:v>
      </x:c>
      <x:c r="L61" s="14" t="str">
        <x:v>P0</x:v>
      </x:c>
      <x:c r="M61" s="14" t="n">
        <x:v>4</x:v>
      </x:c>
      <x:c r="N61" s="14" t="n">
        <x:v>5</x:v>
      </x:c>
      <x:c r="O61" s="14" t="n">
        <x:v>5</x:v>
      </x:c>
      <x:c r="P61" s="14" t="n">
        <x:v>3</x:v>
      </x:c>
      <x:c r="Q61" s="14" t="n">
        <x:v>3</x:v>
      </x:c>
      <x:c r="R61" s="14" t="n">
        <x:v>5</x:v>
      </x:c>
      <x:c r="S61" s="14" t="n">
        <x:f>ROUND(0.22*M61+0.28*N61+0.20*O61+0.15*P61+0.08*(6-Q61)+0.07*(6-R61),2)</x:f>
        <x:v>4.04</x:v>
      </x:c>
      <x:c r="T61" s="14" t="str">
        <x:v>高</x:v>
      </x:c>
      <x:c r="U61" s="25"/>
      <x:c r="V61" s="25"/>
      <x:c r="W61" s="25"/>
      <x:c r="X61" s="25"/>
      <x:c r="Y61" s="25"/>
      <x:c r="Z61" s="25"/>
    </x:row>
    <x:row r="62">
      <x:c r="A62" s="14" t="str">
        <x:v>PLI-061</x:v>
      </x:c>
      <x:c r="B62" s="14" t="str">
        <x:v>04 Health</x:v>
      </x:c>
      <x:c r="C62" s="14" t="str">
        <x:v>Recovery</x:v>
      </x:c>
      <x:c r="D62" s="14" t="str">
        <x:v>恢复计划</x:v>
      </x:c>
      <x:c r="E62" s="14" t="str">
        <x:v>从兽医结论生成经主人确认的症状观察、护理、复诊和记录计划。</x:v>
      </x:c>
      <x:c r="F62" s="14" t="str">
        <x:v>宠主</x:v>
      </x:c>
      <x:c r="G62" s="14" t="str">
        <x:v>摘要/任务编排</x:v>
      </x:c>
      <x:c r="H62" s="14" t="str">
        <x:v>是</x:v>
      </x:c>
      <x:c r="I62" s="14" t="str">
        <x:v>RecoveryPlanCreated</x:v>
      </x:c>
      <x:c r="J62" s="14" t="str"/>
      <x:c r="K62" s="14" t="str">
        <x:v>v0.2</x:v>
      </x:c>
      <x:c r="L62" s="14" t="str">
        <x:v>P1</x:v>
      </x:c>
      <x:c r="M62" s="14" t="n">
        <x:v>3</x:v>
      </x:c>
      <x:c r="N62" s="14" t="n">
        <x:v>5</x:v>
      </x:c>
      <x:c r="O62" s="14" t="n">
        <x:v>5</x:v>
      </x:c>
      <x:c r="P62" s="14" t="n">
        <x:v>4</x:v>
      </x:c>
      <x:c r="Q62" s="14" t="n">
        <x:v>4</x:v>
      </x:c>
      <x:c r="R62" s="14" t="n">
        <x:v>5</x:v>
      </x:c>
      <x:c r="S62" s="14" t="n">
        <x:f>ROUND(0.22*M62+0.28*N62+0.20*O62+0.15*P62+0.08*(6-Q62)+0.07*(6-R62),2)</x:f>
        <x:v>3.89</x:v>
      </x:c>
      <x:c r="T62" s="14" t="str">
        <x:v>高</x:v>
      </x:c>
      <x:c r="U62" s="25"/>
      <x:c r="V62" s="25"/>
      <x:c r="W62" s="25"/>
      <x:c r="X62" s="25"/>
      <x:c r="Y62" s="25"/>
      <x:c r="Z62" s="25"/>
    </x:row>
    <x:row r="63">
      <x:c r="A63" s="14" t="str">
        <x:v>PLI-062</x:v>
      </x:c>
      <x:c r="B63" s="14" t="str">
        <x:v>04 Health</x:v>
      </x:c>
      <x:c r="C63" s="14" t="str">
        <x:v>Recovery</x:v>
      </x:c>
      <x:c r="D63" s="14" t="str">
        <x:v>症状趋势复盘</x:v>
      </x:c>
      <x:c r="E63" s="14" t="str">
        <x:v>对照片、频率、活动等随访数据形成趋势，不替代复诊。</x:v>
      </x:c>
      <x:c r="F63" s="14" t="str">
        <x:v>宠主</x:v>
      </x:c>
      <x:c r="G63" s="14" t="str">
        <x:v>趋势分析</x:v>
      </x:c>
      <x:c r="H63" s="14" t="str">
        <x:v>是</x:v>
      </x:c>
      <x:c r="I63" s="14" t="str">
        <x:v>RecoveryObservation</x:v>
      </x:c>
      <x:c r="J63" s="14" t="str"/>
      <x:c r="K63" s="14" t="str">
        <x:v>v0.2</x:v>
      </x:c>
      <x:c r="L63" s="14" t="str">
        <x:v>P1</x:v>
      </x:c>
      <x:c r="M63" s="14" t="n">
        <x:v>3</x:v>
      </x:c>
      <x:c r="N63" s="14" t="n">
        <x:v>5</x:v>
      </x:c>
      <x:c r="O63" s="14" t="n">
        <x:v>5</x:v>
      </x:c>
      <x:c r="P63" s="14" t="n">
        <x:v>4</x:v>
      </x:c>
      <x:c r="Q63" s="14" t="n">
        <x:v>4</x:v>
      </x:c>
      <x:c r="R63" s="14" t="n">
        <x:v>3</x:v>
      </x:c>
      <x:c r="S63" s="14" t="n">
        <x:f>ROUND(0.22*M63+0.28*N63+0.20*O63+0.15*P63+0.08*(6-Q63)+0.07*(6-R63),2)</x:f>
        <x:v>4.03</x:v>
      </x:c>
      <x:c r="T63" s="14" t="str">
        <x:v>低</x:v>
      </x:c>
      <x:c r="U63" s="25"/>
      <x:c r="V63" s="25"/>
      <x:c r="W63" s="25"/>
      <x:c r="X63" s="25"/>
      <x:c r="Y63" s="25"/>
      <x:c r="Z63" s="25"/>
    </x:row>
    <x:row r="64">
      <x:c r="A64" s="14" t="str">
        <x:v>PLI-063</x:v>
      </x:c>
      <x:c r="B64" s="14" t="str">
        <x:v>04 Health</x:v>
      </x:c>
      <x:c r="C64" s="14" t="str">
        <x:v>Outcome</x:v>
      </x:c>
      <x:c r="D64" s="14" t="str">
        <x:v>结局采集</x:v>
      </x:c>
      <x:c r="E64" s="14" t="str">
        <x:v>记录恢复、未改善、复发、转诊、住院等真实Outcome。</x:v>
      </x:c>
      <x:c r="F64" s="14" t="str">
        <x:v>宠主</x:v>
      </x:c>
      <x:c r="G64" s="14" t="str">
        <x:v>无/规则</x:v>
      </x:c>
      <x:c r="H64" s="14" t="str">
        <x:v>否</x:v>
      </x:c>
      <x:c r="I64" s="14" t="str">
        <x:v>HealthOutcome</x:v>
      </x:c>
      <x:c r="J64" s="14" t="str"/>
      <x:c r="K64" s="14" t="str">
        <x:v>v0.1</x:v>
      </x:c>
      <x:c r="L64" s="14" t="str">
        <x:v>P0</x:v>
      </x:c>
      <x:c r="M64" s="14" t="n">
        <x:v>2</x:v>
      </x:c>
      <x:c r="N64" s="14" t="n">
        <x:v>5</x:v>
      </x:c>
      <x:c r="O64" s="14" t="n">
        <x:v>5</x:v>
      </x:c>
      <x:c r="P64" s="14" t="n">
        <x:v>4</x:v>
      </x:c>
      <x:c r="Q64" s="14" t="n">
        <x:v>2</x:v>
      </x:c>
      <x:c r="R64" s="14" t="n">
        <x:v>2</x:v>
      </x:c>
      <x:c r="S64" s="14" t="n">
        <x:f>ROUND(0.22*M64+0.28*N64+0.20*O64+0.15*P64+0.08*(6-Q64)+0.07*(6-R64),2)</x:f>
        <x:v>4.04</x:v>
      </x:c>
      <x:c r="T64" s="14" t="str">
        <x:v>低</x:v>
      </x:c>
      <x:c r="U64" s="25"/>
      <x:c r="V64" s="25"/>
      <x:c r="W64" s="25"/>
      <x:c r="X64" s="25"/>
      <x:c r="Y64" s="25"/>
      <x:c r="Z64" s="25"/>
    </x:row>
    <x:row r="65">
      <x:c r="A65" s="14" t="str">
        <x:v>PLI-064</x:v>
      </x:c>
      <x:c r="B65" s="14" t="str">
        <x:v>04 Health</x:v>
      </x:c>
      <x:c r="C65" s="14" t="str">
        <x:v>Preventive</x:v>
      </x:c>
      <x:c r="D65" s="14" t="str">
        <x:v>疫苗/驱虫/体检提醒</x:v>
      </x:c>
      <x:c r="E65" s="14" t="str">
        <x:v>管理预防护理计划并允许地区/兽医方案覆盖默认模板。</x:v>
      </x:c>
      <x:c r="F65" s="14" t="str">
        <x:v>宠主</x:v>
      </x:c>
      <x:c r="G65" s="14" t="str">
        <x:v>无/规则</x:v>
      </x:c>
      <x:c r="H65" s="14" t="str">
        <x:v>否</x:v>
      </x:c>
      <x:c r="I65" s="14" t="str">
        <x:v>PreventiveCareDue</x:v>
      </x:c>
      <x:c r="J65" s="14" t="str"/>
      <x:c r="K65" s="14" t="str">
        <x:v>v0.2</x:v>
      </x:c>
      <x:c r="L65" s="14" t="str">
        <x:v>P1</x:v>
      </x:c>
      <x:c r="M65" s="14" t="n">
        <x:v>3</x:v>
      </x:c>
      <x:c r="N65" s="14" t="n">
        <x:v>4</x:v>
      </x:c>
      <x:c r="O65" s="14" t="n">
        <x:v>4</x:v>
      </x:c>
      <x:c r="P65" s="14" t="n">
        <x:v>3</x:v>
      </x:c>
      <x:c r="Q65" s="14" t="n">
        <x:v>2</x:v>
      </x:c>
      <x:c r="R65" s="14" t="n">
        <x:v>2</x:v>
      </x:c>
      <x:c r="S65" s="14" t="n">
        <x:f>ROUND(0.22*M65+0.28*N65+0.20*O65+0.15*P65+0.08*(6-Q65)+0.07*(6-R65),2)</x:f>
        <x:v>3.63</x:v>
      </x:c>
      <x:c r="T65" s="14" t="str">
        <x:v>低</x:v>
      </x:c>
      <x:c r="U65" s="25"/>
      <x:c r="V65" s="25"/>
      <x:c r="W65" s="25"/>
      <x:c r="X65" s="25"/>
      <x:c r="Y65" s="25"/>
      <x:c r="Z65" s="25"/>
    </x:row>
    <x:row r="66">
      <x:c r="A66" s="14" t="str">
        <x:v>PLI-065</x:v>
      </x:c>
      <x:c r="B66" s="14" t="str">
        <x:v>04 Health</x:v>
      </x:c>
      <x:c r="C66" s="14" t="str">
        <x:v>Chronic</x:v>
      </x:c>
      <x:c r="D66" s="14" t="str">
        <x:v>慢病模式</x:v>
      </x:c>
      <x:c r="E66" s="14" t="str">
        <x:v>为CKD/OA/糖尿病等预留疾病特异指标、任务和复诊路径。</x:v>
      </x:c>
      <x:c r="F66" s="14" t="str">
        <x:v>宠主</x:v>
      </x:c>
      <x:c r="G66" s="14" t="str">
        <x:v>专病规则/趋势</x:v>
      </x:c>
      <x:c r="H66" s="14" t="str">
        <x:v>是</x:v>
      </x:c>
      <x:c r="I66" s="14" t="str">
        <x:v>ChronicCareEvent</x:v>
      </x:c>
      <x:c r="J66" s="14" t="str"/>
      <x:c r="K66" s="14" t="str">
        <x:v>v1.0</x:v>
      </x:c>
      <x:c r="L66" s="14" t="str">
        <x:v>P2</x:v>
      </x:c>
      <x:c r="M66" s="14" t="n">
        <x:v>3</x:v>
      </x:c>
      <x:c r="N66" s="14" t="n">
        <x:v>5</x:v>
      </x:c>
      <x:c r="O66" s="14" t="n">
        <x:v>5</x:v>
      </x:c>
      <x:c r="P66" s="14" t="n">
        <x:v>5</x:v>
      </x:c>
      <x:c r="Q66" s="14" t="n">
        <x:v>5</x:v>
      </x:c>
      <x:c r="R66" s="14" t="n">
        <x:v>5</x:v>
      </x:c>
      <x:c r="S66" s="14" t="n">
        <x:f>ROUND(0.22*M66+0.28*N66+0.20*O66+0.15*P66+0.08*(6-Q66)+0.07*(6-R66),2)</x:f>
        <x:v>3.96</x:v>
      </x:c>
      <x:c r="T66" s="14" t="str">
        <x:v>高</x:v>
      </x:c>
      <x:c r="U66" s="25"/>
      <x:c r="V66" s="25"/>
      <x:c r="W66" s="25"/>
      <x:c r="X66" s="25"/>
      <x:c r="Y66" s="25"/>
      <x:c r="Z66" s="25"/>
    </x:row>
    <x:row r="67">
      <x:c r="A67" s="14" t="str">
        <x:v>PLI-066</x:v>
      </x:c>
      <x:c r="B67" s="14" t="str">
        <x:v>04 Health</x:v>
      </x:c>
      <x:c r="C67" s="14" t="str">
        <x:v>Senior</x:v>
      </x:c>
      <x:c r="D67" s="14" t="str">
        <x:v>老龄宠物基线</x:v>
      </x:c>
      <x:c r="E67" s="14" t="str">
        <x:v>整合活动、步态、睡眠、认知、食欲、体重等老龄变化趋势。</x:v>
      </x:c>
      <x:c r="F67" s="14" t="str">
        <x:v>宠主</x:v>
      </x:c>
      <x:c r="G67" s="14" t="str">
        <x:v>多模态趋势</x:v>
      </x:c>
      <x:c r="H67" s="14" t="str">
        <x:v>是</x:v>
      </x:c>
      <x:c r="I67" s="14" t="str">
        <x:v>SeniorBaselineUpdated</x:v>
      </x:c>
      <x:c r="J67" s="14" t="str"/>
      <x:c r="K67" s="14" t="str">
        <x:v>v1.0</x:v>
      </x:c>
      <x:c r="L67" s="14" t="str">
        <x:v>P2</x:v>
      </x:c>
      <x:c r="M67" s="14" t="n">
        <x:v>3</x:v>
      </x:c>
      <x:c r="N67" s="14" t="n">
        <x:v>5</x:v>
      </x:c>
      <x:c r="O67" s="14" t="n">
        <x:v>5</x:v>
      </x:c>
      <x:c r="P67" s="14" t="n">
        <x:v>4</x:v>
      </x:c>
      <x:c r="Q67" s="14" t="n">
        <x:v>5</x:v>
      </x:c>
      <x:c r="R67" s="14" t="n">
        <x:v>4</x:v>
      </x:c>
      <x:c r="S67" s="14" t="n">
        <x:f>ROUND(0.22*M67+0.28*N67+0.20*O67+0.15*P67+0.08*(6-Q67)+0.07*(6-R67),2)</x:f>
        <x:v>3.88</x:v>
      </x:c>
      <x:c r="T67" s="14" t="str">
        <x:v>中</x:v>
      </x:c>
      <x:c r="U67" s="25"/>
      <x:c r="V67" s="25"/>
      <x:c r="W67" s="25"/>
      <x:c r="X67" s="25"/>
      <x:c r="Y67" s="25"/>
      <x:c r="Z67" s="25"/>
    </x:row>
    <x:row r="68">
      <x:c r="A68" s="14" t="str">
        <x:v>PLI-067</x:v>
      </x:c>
      <x:c r="B68" s="14" t="str">
        <x:v>04 Health</x:v>
      </x:c>
      <x:c r="C68" s="14" t="str">
        <x:v>Interoperability</x:v>
      </x:c>
      <x:c r="D68" s="14" t="str">
        <x:v>标准术语映射</x:v>
      </x:c>
      <x:c r="E68" s="14" t="str">
        <x:v>关键医疗事实映射到VetSCT/SNOMED等术语并保留原始文本。</x:v>
      </x:c>
      <x:c r="F68" s="14" t="str">
        <x:v>宠主</x:v>
      </x:c>
      <x:c r="G68" s="14" t="str">
        <x:v>术语编码</x:v>
      </x:c>
      <x:c r="H68" s="14" t="str">
        <x:v>是</x:v>
      </x:c>
      <x:c r="I68" s="14" t="str">
        <x:v>TerminologyMapped</x:v>
      </x:c>
      <x:c r="J68" s="14" t="str"/>
      <x:c r="K68" s="14" t="str">
        <x:v>v1.0</x:v>
      </x:c>
      <x:c r="L68" s="14" t="str">
        <x:v>P2</x:v>
      </x:c>
      <x:c r="M68" s="14" t="n">
        <x:v>1</x:v>
      </x:c>
      <x:c r="N68" s="14" t="n">
        <x:v>4</x:v>
      </x:c>
      <x:c r="O68" s="14" t="n">
        <x:v>5</x:v>
      </x:c>
      <x:c r="P68" s="14" t="n">
        <x:v>3</x:v>
      </x:c>
      <x:c r="Q68" s="14" t="n">
        <x:v>5</x:v>
      </x:c>
      <x:c r="R68" s="14" t="n">
        <x:v>3</x:v>
      </x:c>
      <x:c r="S68" s="14" t="n">
        <x:f>ROUND(0.22*M68+0.28*N68+0.20*O68+0.15*P68+0.08*(6-Q68)+0.07*(6-R68),2)</x:f>
        <x:v>3.08</x:v>
      </x:c>
      <x:c r="T68" s="14" t="str">
        <x:v>低</x:v>
      </x:c>
      <x:c r="U68" s="25"/>
      <x:c r="V68" s="25"/>
      <x:c r="W68" s="25"/>
      <x:c r="X68" s="25"/>
      <x:c r="Y68" s="25"/>
      <x:c r="Z68" s="25"/>
    </x:row>
    <x:row r="69">
      <x:c r="A69" s="14" t="str">
        <x:v>PLI-068</x:v>
      </x:c>
      <x:c r="B69" s="14" t="str">
        <x:v>04 Health</x:v>
      </x:c>
      <x:c r="C69" s="14" t="str">
        <x:v>Research</x:v>
      </x:c>
      <x:c r="D69" s="14" t="str">
        <x:v>真实世界证据队列</x:v>
      </x:c>
      <x:c r="E69" s="14" t="str">
        <x:v>在单独同意下将完整事件-诊断-治疗-结局进入可研究队列。</x:v>
      </x:c>
      <x:c r="F69" s="14" t="str">
        <x:v>宠主</x:v>
      </x:c>
      <x:c r="G69" s="14" t="str">
        <x:v>无/规则</x:v>
      </x:c>
      <x:c r="H69" s="14" t="str">
        <x:v>否</x:v>
      </x:c>
      <x:c r="I69" s="14" t="str">
        <x:v>ResearchRecordEnrolled</x:v>
      </x:c>
      <x:c r="J69" s="14" t="str"/>
      <x:c r="K69" s="14" t="str">
        <x:v>Future</x:v>
      </x:c>
      <x:c r="L69" s="14" t="str">
        <x:v>Future</x:v>
      </x:c>
      <x:c r="M69" s="14" t="n">
        <x:v>1</x:v>
      </x:c>
      <x:c r="N69" s="14" t="n">
        <x:v>4</x:v>
      </x:c>
      <x:c r="O69" s="14" t="n">
        <x:v>5</x:v>
      </x:c>
      <x:c r="P69" s="14" t="n">
        <x:v>4</x:v>
      </x:c>
      <x:c r="Q69" s="14" t="n">
        <x:v>5</x:v>
      </x:c>
      <x:c r="R69" s="14" t="n">
        <x:v>5</x:v>
      </x:c>
      <x:c r="S69" s="14" t="n">
        <x:f>ROUND(0.22*M69+0.28*N69+0.20*O69+0.15*P69+0.08*(6-Q69)+0.07*(6-R69),2)</x:f>
        <x:v>3.09</x:v>
      </x:c>
      <x:c r="T69" s="14" t="str">
        <x:v>高</x:v>
      </x:c>
      <x:c r="U69" s="25"/>
      <x:c r="V69" s="25"/>
      <x:c r="W69" s="25"/>
      <x:c r="X69" s="25"/>
      <x:c r="Y69" s="25"/>
      <x:c r="Z69" s="25"/>
    </x:row>
    <x:row r="70">
      <x:c r="A70" s="14" t="str">
        <x:v>PLI-069</x:v>
      </x:c>
      <x:c r="B70" s="14" t="str">
        <x:v>05 Behavior</x:v>
      </x:c>
      <x:c r="C70" s="14" t="str">
        <x:v>Behavior Event</x:v>
      </x:c>
      <x:c r="D70" s="14" t="str">
        <x:v>行为事件快速记录</x:v>
      </x:c>
      <x:c r="E70" s="14" t="str">
        <x:v>记录“发生了什么行为、何时、在哪里、涉及谁”，避免仅用标签。</x:v>
      </x:c>
      <x:c r="F70" s="14" t="str">
        <x:v>宠主</x:v>
      </x:c>
      <x:c r="G70" s="14" t="str">
        <x:v>无/规则</x:v>
      </x:c>
      <x:c r="H70" s="14" t="str">
        <x:v>否</x:v>
      </x:c>
      <x:c r="I70" s="14" t="str">
        <x:v>BehaviorEvent</x:v>
      </x:c>
      <x:c r="J70" s="14" t="str"/>
      <x:c r="K70" s="14" t="str">
        <x:v>v0.1</x:v>
      </x:c>
      <x:c r="L70" s="14" t="str">
        <x:v>P0</x:v>
      </x:c>
      <x:c r="M70" s="14" t="n">
        <x:v>3</x:v>
      </x:c>
      <x:c r="N70" s="14" t="n">
        <x:v>5</x:v>
      </x:c>
      <x:c r="O70" s="14" t="n">
        <x:v>5</x:v>
      </x:c>
      <x:c r="P70" s="14" t="n">
        <x:v>2</x:v>
      </x:c>
      <x:c r="Q70" s="14" t="n">
        <x:v>2</x:v>
      </x:c>
      <x:c r="R70" s="14" t="n">
        <x:v>1</x:v>
      </x:c>
      <x:c r="S70" s="14" t="n">
        <x:f>ROUND(0.22*M70+0.28*N70+0.20*O70+0.15*P70+0.08*(6-Q70)+0.07*(6-R70),2)</x:f>
        <x:v>4.03</x:v>
      </x:c>
      <x:c r="T70" s="14" t="str">
        <x:v>低</x:v>
      </x:c>
      <x:c r="U70" s="25"/>
      <x:c r="V70" s="25"/>
      <x:c r="W70" s="25"/>
      <x:c r="X70" s="25"/>
      <x:c r="Y70" s="25"/>
      <x:c r="Z70" s="25"/>
    </x:row>
    <x:row r="71">
      <x:c r="A71" s="14" t="str">
        <x:v>PLI-070</x:v>
      </x:c>
      <x:c r="B71" s="14" t="str">
        <x:v>05 Behavior</x:v>
      </x:c>
      <x:c r="C71" s="14" t="str">
        <x:v>ABC</x:v>
      </x:c>
      <x:c r="D71" s="14" t="str">
        <x:v>前因-行为-后果结构</x:v>
      </x:c>
      <x:c r="E71" s="14" t="str">
        <x:v>使用ABC结构记录触发因素、具体行为和结果。</x:v>
      </x:c>
      <x:c r="F71" s="14" t="str">
        <x:v>宠主</x:v>
      </x:c>
      <x:c r="G71" s="14" t="str">
        <x:v>无/规则</x:v>
      </x:c>
      <x:c r="H71" s="14" t="str">
        <x:v>否</x:v>
      </x:c>
      <x:c r="I71" s="14" t="str">
        <x:v>ABCObservation</x:v>
      </x:c>
      <x:c r="J71" s="14" t="str"/>
      <x:c r="K71" s="14" t="str">
        <x:v>v0.2</x:v>
      </x:c>
      <x:c r="L71" s="14" t="str">
        <x:v>P1</x:v>
      </x:c>
      <x:c r="M71" s="14" t="n">
        <x:v>3</x:v>
      </x:c>
      <x:c r="N71" s="14" t="n">
        <x:v>5</x:v>
      </x:c>
      <x:c r="O71" s="14" t="n">
        <x:v>5</x:v>
      </x:c>
      <x:c r="P71" s="14" t="n">
        <x:v>3</x:v>
      </x:c>
      <x:c r="Q71" s="14" t="n">
        <x:v>3</x:v>
      </x:c>
      <x:c r="R71" s="14" t="n">
        <x:v>2</x:v>
      </x:c>
      <x:c r="S71" s="14" t="n">
        <x:f>ROUND(0.22*M71+0.28*N71+0.20*O71+0.15*P71+0.08*(6-Q71)+0.07*(6-R71),2)</x:f>
        <x:v>4.03</x:v>
      </x:c>
      <x:c r="T71" s="14" t="str">
        <x:v>低</x:v>
      </x:c>
      <x:c r="U71" s="25"/>
      <x:c r="V71" s="25"/>
      <x:c r="W71" s="25"/>
      <x:c r="X71" s="25"/>
      <x:c r="Y71" s="25"/>
      <x:c r="Z71" s="25"/>
    </x:row>
    <x:row r="72">
      <x:c r="A72" s="14" t="str">
        <x:v>PLI-071</x:v>
      </x:c>
      <x:c r="B72" s="14" t="str">
        <x:v>05 Behavior</x:v>
      </x:c>
      <x:c r="C72" s="14" t="str">
        <x:v>Video</x:v>
      </x:c>
      <x:c r="D72" s="14" t="str">
        <x:v>行为视频绑定</x:v>
      </x:c>
      <x:c r="E72" s="14" t="str">
        <x:v>将行为片段绑定到事件，允许后续专业人士或AI复核。</x:v>
      </x:c>
      <x:c r="F72" s="14" t="str">
        <x:v>宠主</x:v>
      </x:c>
      <x:c r="G72" s="14" t="str">
        <x:v>无/规则</x:v>
      </x:c>
      <x:c r="H72" s="14" t="str">
        <x:v>否</x:v>
      </x:c>
      <x:c r="I72" s="14" t="str">
        <x:v>BehaviorArtifactAdded</x:v>
      </x:c>
      <x:c r="J72" s="14" t="str"/>
      <x:c r="K72" s="14" t="str">
        <x:v>v0.2</x:v>
      </x:c>
      <x:c r="L72" s="14" t="str">
        <x:v>P1</x:v>
      </x:c>
      <x:c r="M72" s="14" t="n">
        <x:v>2</x:v>
      </x:c>
      <x:c r="N72" s="14" t="n">
        <x:v>4</x:v>
      </x:c>
      <x:c r="O72" s="14" t="n">
        <x:v>5</x:v>
      </x:c>
      <x:c r="P72" s="14" t="n">
        <x:v>2</x:v>
      </x:c>
      <x:c r="Q72" s="14" t="n">
        <x:v>2</x:v>
      </x:c>
      <x:c r="R72" s="14" t="n">
        <x:v>1</x:v>
      </x:c>
      <x:c r="S72" s="14" t="n">
        <x:f>ROUND(0.22*M72+0.28*N72+0.20*O72+0.15*P72+0.08*(6-Q72)+0.07*(6-R72),2)</x:f>
        <x:v>3.53</x:v>
      </x:c>
      <x:c r="T72" s="14" t="str">
        <x:v>低</x:v>
      </x:c>
      <x:c r="U72" s="25"/>
      <x:c r="V72" s="25"/>
      <x:c r="W72" s="25"/>
      <x:c r="X72" s="25"/>
      <x:c r="Y72" s="25"/>
      <x:c r="Z72" s="25"/>
    </x:row>
    <x:row r="73">
      <x:c r="A73" s="14" t="str">
        <x:v>PLI-072</x:v>
      </x:c>
      <x:c r="B73" s="14" t="str">
        <x:v>05 Behavior</x:v>
      </x:c>
      <x:c r="C73" s="14" t="str">
        <x:v>Observation</x:v>
      </x:c>
      <x:c r="D73" s="14" t="str">
        <x:v>可观察行为抽取</x:v>
      </x:c>
      <x:c r="E73" s="14" t="str">
        <x:v>从视频提取位置、移动、叫声、回避、持续时间等，不直接贴人格标签。</x:v>
      </x:c>
      <x:c r="F73" s="14" t="str">
        <x:v>宠主</x:v>
      </x:c>
      <x:c r="G73" s="14" t="str">
        <x:v>CV/音频</x:v>
      </x:c>
      <x:c r="H73" s="14" t="str">
        <x:v>是</x:v>
      </x:c>
      <x:c r="I73" s="14" t="str">
        <x:v>AIBehaviorObservation</x:v>
      </x:c>
      <x:c r="J73" s="14" t="str"/>
      <x:c r="K73" s="14" t="str">
        <x:v>v1.0</x:v>
      </x:c>
      <x:c r="L73" s="14" t="str">
        <x:v>P2</x:v>
      </x:c>
      <x:c r="M73" s="14" t="n">
        <x:v>2</x:v>
      </x:c>
      <x:c r="N73" s="14" t="n">
        <x:v>4</x:v>
      </x:c>
      <x:c r="O73" s="14" t="n">
        <x:v>5</x:v>
      </x:c>
      <x:c r="P73" s="14" t="n">
        <x:v>3</x:v>
      </x:c>
      <x:c r="Q73" s="14" t="n">
        <x:v>5</x:v>
      </x:c>
      <x:c r="R73" s="14" t="n">
        <x:v>4</x:v>
      </x:c>
      <x:c r="S73" s="14" t="n">
        <x:f>ROUND(0.22*M73+0.28*N73+0.20*O73+0.15*P73+0.08*(6-Q73)+0.07*(6-R73),2)</x:f>
        <x:v>3.23</x:v>
      </x:c>
      <x:c r="T73" s="14" t="str">
        <x:v>中</x:v>
      </x:c>
      <x:c r="U73" s="25"/>
      <x:c r="V73" s="25"/>
      <x:c r="W73" s="25"/>
      <x:c r="X73" s="25"/>
      <x:c r="Y73" s="25"/>
      <x:c r="Z73" s="25"/>
    </x:row>
    <x:row r="74">
      <x:c r="A74" s="14" t="str">
        <x:v>PLI-073</x:v>
      </x:c>
      <x:c r="B74" s="14" t="str">
        <x:v>05 Behavior</x:v>
      </x:c>
      <x:c r="C74" s="14" t="str">
        <x:v>Triggers</x:v>
      </x:c>
      <x:c r="D74" s="14" t="str">
        <x:v>触发因素图谱</x:v>
      </x:c>
      <x:c r="E74" s="14" t="str">
        <x:v>统计哪些环境、对象、声音或时间条件下行为更常发生。</x:v>
      </x:c>
      <x:c r="F74" s="14" t="str">
        <x:v>宠主</x:v>
      </x:c>
      <x:c r="G74" s="14" t="str">
        <x:v>关联分析</x:v>
      </x:c>
      <x:c r="H74" s="14" t="str">
        <x:v>是</x:v>
      </x:c>
      <x:c r="I74" s="14" t="str">
        <x:v>BehaviorTriggerUpdated</x:v>
      </x:c>
      <x:c r="J74" s="14" t="str"/>
      <x:c r="K74" s="14" t="str">
        <x:v>v0.2</x:v>
      </x:c>
      <x:c r="L74" s="14" t="str">
        <x:v>P1</x:v>
      </x:c>
      <x:c r="M74" s="14" t="n">
        <x:v>3</x:v>
      </x:c>
      <x:c r="N74" s="14" t="n">
        <x:v>5</x:v>
      </x:c>
      <x:c r="O74" s="14" t="n">
        <x:v>5</x:v>
      </x:c>
      <x:c r="P74" s="14" t="n">
        <x:v>3</x:v>
      </x:c>
      <x:c r="Q74" s="14" t="n">
        <x:v>3</x:v>
      </x:c>
      <x:c r="R74" s="14" t="n">
        <x:v>2</x:v>
      </x:c>
      <x:c r="S74" s="14" t="n">
        <x:f>ROUND(0.22*M74+0.28*N74+0.20*O74+0.15*P74+0.08*(6-Q74)+0.07*(6-R74),2)</x:f>
        <x:v>4.03</x:v>
      </x:c>
      <x:c r="T74" s="14" t="str">
        <x:v>低</x:v>
      </x:c>
      <x:c r="U74" s="25"/>
      <x:c r="V74" s="25"/>
      <x:c r="W74" s="25"/>
      <x:c r="X74" s="25"/>
      <x:c r="Y74" s="25"/>
      <x:c r="Z74" s="25"/>
    </x:row>
    <x:row r="75">
      <x:c r="A75" s="14" t="str">
        <x:v>PLI-074</x:v>
      </x:c>
      <x:c r="B75" s="14" t="str">
        <x:v>05 Behavior</x:v>
      </x:c>
      <x:c r="C75" s="14" t="str">
        <x:v>Patterns</x:v>
      </x:c>
      <x:c r="D75" s="14" t="str">
        <x:v>行为模式与趋势</x:v>
      </x:c>
      <x:c r="E75" s="14" t="str">
        <x:v>按周/月查看频率、持续时间和严重度变化。</x:v>
      </x:c>
      <x:c r="F75" s="14" t="str">
        <x:v>宠主</x:v>
      </x:c>
      <x:c r="G75" s="14" t="str">
        <x:v>趋势分析</x:v>
      </x:c>
      <x:c r="H75" s="14" t="str">
        <x:v>是</x:v>
      </x:c>
      <x:c r="I75" s="14" t="str">
        <x:v>BehaviorTrendUpdated</x:v>
      </x:c>
      <x:c r="J75" s="14" t="str"/>
      <x:c r="K75" s="14" t="str">
        <x:v>v0.2</x:v>
      </x:c>
      <x:c r="L75" s="14" t="str">
        <x:v>P1</x:v>
      </x:c>
      <x:c r="M75" s="14" t="n">
        <x:v>3</x:v>
      </x:c>
      <x:c r="N75" s="14" t="n">
        <x:v>4</x:v>
      </x:c>
      <x:c r="O75" s="14" t="n">
        <x:v>5</x:v>
      </x:c>
      <x:c r="P75" s="14" t="n">
        <x:v>3</x:v>
      </x:c>
      <x:c r="Q75" s="14" t="n">
        <x:v>3</x:v>
      </x:c>
      <x:c r="R75" s="14" t="n">
        <x:v>2</x:v>
      </x:c>
      <x:c r="S75" s="14" t="n">
        <x:f>ROUND(0.22*M75+0.28*N75+0.20*O75+0.15*P75+0.08*(6-Q75)+0.07*(6-R75),2)</x:f>
        <x:v>3.75</x:v>
      </x:c>
      <x:c r="T75" s="14" t="str">
        <x:v>低</x:v>
      </x:c>
      <x:c r="U75" s="25"/>
      <x:c r="V75" s="25"/>
      <x:c r="W75" s="25"/>
      <x:c r="X75" s="25"/>
      <x:c r="Y75" s="25"/>
      <x:c r="Z75" s="25"/>
    </x:row>
    <x:row r="76">
      <x:c r="A76" s="14" t="str">
        <x:v>PLI-075</x:v>
      </x:c>
      <x:c r="B76" s="14" t="str">
        <x:v>05 Behavior</x:v>
      </x:c>
      <x:c r="C76" s="14" t="str">
        <x:v>Problem Behavior</x:v>
      </x:c>
      <x:c r="D76" s="14" t="str">
        <x:v>吠叫/抓挠/破坏等事件模板</x:v>
      </x:c>
      <x:c r="E76" s="14" t="str">
        <x:v>为高频问题提供结构化记录模板并保留自由描述。</x:v>
      </x:c>
      <x:c r="F76" s="14" t="str">
        <x:v>宠主</x:v>
      </x:c>
      <x:c r="G76" s="14" t="str">
        <x:v>无/规则</x:v>
      </x:c>
      <x:c r="H76" s="14" t="str">
        <x:v>否</x:v>
      </x:c>
      <x:c r="I76" s="14" t="str">
        <x:v>BehaviorEvent</x:v>
      </x:c>
      <x:c r="J76" s="14" t="str"/>
      <x:c r="K76" s="14" t="str">
        <x:v>v0.2</x:v>
      </x:c>
      <x:c r="L76" s="14" t="str">
        <x:v>P1</x:v>
      </x:c>
      <x:c r="M76" s="14" t="n">
        <x:v>3</x:v>
      </x:c>
      <x:c r="N76" s="14" t="n">
        <x:v>4</x:v>
      </x:c>
      <x:c r="O76" s="14" t="n">
        <x:v>4</x:v>
      </x:c>
      <x:c r="P76" s="14" t="n">
        <x:v>2</x:v>
      </x:c>
      <x:c r="Q76" s="14" t="n">
        <x:v>2</x:v>
      </x:c>
      <x:c r="R76" s="14" t="n">
        <x:v>1</x:v>
      </x:c>
      <x:c r="S76" s="14" t="n">
        <x:f>ROUND(0.22*M76+0.28*N76+0.20*O76+0.15*P76+0.08*(6-Q76)+0.07*(6-R76),2)</x:f>
        <x:v>3.55</x:v>
      </x:c>
      <x:c r="T76" s="14" t="str">
        <x:v>低</x:v>
      </x:c>
      <x:c r="U76" s="25"/>
      <x:c r="V76" s="25"/>
      <x:c r="W76" s="25"/>
      <x:c r="X76" s="25"/>
      <x:c r="Y76" s="25"/>
      <x:c r="Z76" s="25"/>
    </x:row>
    <x:row r="77">
      <x:c r="A77" s="14" t="str">
        <x:v>PLI-076</x:v>
      </x:c>
      <x:c r="B77" s="14" t="str">
        <x:v>05 Behavior</x:v>
      </x:c>
      <x:c r="C77" s="14" t="str">
        <x:v>Fear/Stress</x:v>
      </x:c>
      <x:c r="D77" s="14" t="str">
        <x:v>回避/恐惧事件记录</x:v>
      </x:c>
      <x:c r="E77" s="14" t="str">
        <x:v>记录刺激距离、恢复时间和是否自主退出等。</x:v>
      </x:c>
      <x:c r="F77" s="14" t="str">
        <x:v>宠主</x:v>
      </x:c>
      <x:c r="G77" s="14" t="str">
        <x:v>无/规则</x:v>
      </x:c>
      <x:c r="H77" s="14" t="str">
        <x:v>否</x:v>
      </x:c>
      <x:c r="I77" s="14" t="str">
        <x:v>StressBehaviorEvent</x:v>
      </x:c>
      <x:c r="J77" s="14" t="str"/>
      <x:c r="K77" s="14" t="str">
        <x:v>v1.0</x:v>
      </x:c>
      <x:c r="L77" s="14" t="str">
        <x:v>P2</x:v>
      </x:c>
      <x:c r="M77" s="14" t="n">
        <x:v>2</x:v>
      </x:c>
      <x:c r="N77" s="14" t="n">
        <x:v>4</x:v>
      </x:c>
      <x:c r="O77" s="14" t="n">
        <x:v>5</x:v>
      </x:c>
      <x:c r="P77" s="14" t="n">
        <x:v>2</x:v>
      </x:c>
      <x:c r="Q77" s="14" t="n">
        <x:v>3</x:v>
      </x:c>
      <x:c r="R77" s="14" t="n">
        <x:v>2</x:v>
      </x:c>
      <x:c r="S77" s="14" t="n">
        <x:f>ROUND(0.22*M77+0.28*N77+0.20*O77+0.15*P77+0.08*(6-Q77)+0.07*(6-R77),2)</x:f>
        <x:v>3.38</x:v>
      </x:c>
      <x:c r="T77" s="14" t="str">
        <x:v>低</x:v>
      </x:c>
      <x:c r="U77" s="25"/>
      <x:c r="V77" s="25"/>
      <x:c r="W77" s="25"/>
      <x:c r="X77" s="25"/>
      <x:c r="Y77" s="25"/>
      <x:c r="Z77" s="25"/>
    </x:row>
    <x:row r="78">
      <x:c r="A78" s="14" t="str">
        <x:v>PLI-077</x:v>
      </x:c>
      <x:c r="B78" s="14" t="str">
        <x:v>05 Behavior</x:v>
      </x:c>
      <x:c r="C78" s="14" t="str">
        <x:v>Aggression</x:v>
      </x:c>
      <x:c r="D78" s="14" t="str">
        <x:v>攻击相关安全记录</x:v>
      </x:c>
      <x:c r="E78" s="14" t="str">
        <x:v>记录资源、对象、距离、接触程度和是否造成伤害，提供安全升级建议。</x:v>
      </x:c>
      <x:c r="F78" s="14" t="str">
        <x:v>宠主</x:v>
      </x:c>
      <x:c r="G78" s="14" t="str">
        <x:v>规则/安全</x:v>
      </x:c>
      <x:c r="H78" s="14" t="str">
        <x:v>规则为主</x:v>
      </x:c>
      <x:c r="I78" s="14" t="str">
        <x:v>AggressionEvent</x:v>
      </x:c>
      <x:c r="J78" s="14" t="str"/>
      <x:c r="K78" s="14" t="str">
        <x:v>v1.0</x:v>
      </x:c>
      <x:c r="L78" s="14" t="str">
        <x:v>P2</x:v>
      </x:c>
      <x:c r="M78" s="14" t="n">
        <x:v>1</x:v>
      </x:c>
      <x:c r="N78" s="14" t="n">
        <x:v>5</x:v>
      </x:c>
      <x:c r="O78" s="14" t="n">
        <x:v>5</x:v>
      </x:c>
      <x:c r="P78" s="14" t="n">
        <x:v>3</x:v>
      </x:c>
      <x:c r="Q78" s="14" t="n">
        <x:v>4</x:v>
      </x:c>
      <x:c r="R78" s="14" t="n">
        <x:v>5</x:v>
      </x:c>
      <x:c r="S78" s="14" t="n">
        <x:f>ROUND(0.22*M78+0.28*N78+0.20*O78+0.15*P78+0.08*(6-Q78)+0.07*(6-R78),2)</x:f>
        <x:v>3.3</x:v>
      </x:c>
      <x:c r="T78" s="14" t="str">
        <x:v>高</x:v>
      </x:c>
      <x:c r="U78" s="25"/>
      <x:c r="V78" s="25"/>
      <x:c r="W78" s="25"/>
      <x:c r="X78" s="25"/>
      <x:c r="Y78" s="25"/>
      <x:c r="Z78" s="25"/>
    </x:row>
    <x:row r="79">
      <x:c r="A79" s="14" t="str">
        <x:v>PLI-078</x:v>
      </x:c>
      <x:c r="B79" s="14" t="str">
        <x:v>05 Behavior</x:v>
      </x:c>
      <x:c r="C79" s="14" t="str">
        <x:v>Separation</x:v>
      </x:c>
      <x:c r="D79" s="14" t="str">
        <x:v>独处行为档案</x:v>
      </x:c>
      <x:c r="E79" s="14" t="str">
        <x:v>记录主人离开后的巡视、叫声、破坏、休息及恢复时间。</x:v>
      </x:c>
      <x:c r="F79" s="14" t="str">
        <x:v>宠主</x:v>
      </x:c>
      <x:c r="G79" s="14" t="str">
        <x:v>视频/音频</x:v>
      </x:c>
      <x:c r="H79" s="14" t="str">
        <x:v>是</x:v>
      </x:c>
      <x:c r="I79" s="14" t="str">
        <x:v>SeparationObservation</x:v>
      </x:c>
      <x:c r="J79" s="14" t="str"/>
      <x:c r="K79" s="14" t="str">
        <x:v>v1.0</x:v>
      </x:c>
      <x:c r="L79" s="14" t="str">
        <x:v>P2</x:v>
      </x:c>
      <x:c r="M79" s="14" t="n">
        <x:v>2</x:v>
      </x:c>
      <x:c r="N79" s="14" t="n">
        <x:v>5</x:v>
      </x:c>
      <x:c r="O79" s="14" t="n">
        <x:v>5</x:v>
      </x:c>
      <x:c r="P79" s="14" t="n">
        <x:v>3</x:v>
      </x:c>
      <x:c r="Q79" s="14" t="n">
        <x:v>4</x:v>
      </x:c>
      <x:c r="R79" s="14" t="n">
        <x:v>3</x:v>
      </x:c>
      <x:c r="S79" s="14" t="n">
        <x:f>ROUND(0.22*M79+0.28*N79+0.20*O79+0.15*P79+0.08*(6-Q79)+0.07*(6-R79),2)</x:f>
        <x:v>3.66</x:v>
      </x:c>
      <x:c r="T79" s="14" t="str">
        <x:v>低</x:v>
      </x:c>
      <x:c r="U79" s="25"/>
      <x:c r="V79" s="25"/>
      <x:c r="W79" s="25"/>
      <x:c r="X79" s="25"/>
      <x:c r="Y79" s="25"/>
      <x:c r="Z79" s="25"/>
    </x:row>
    <x:row r="80">
      <x:c r="A80" s="14" t="str">
        <x:v>PLI-079</x:v>
      </x:c>
      <x:c r="B80" s="14" t="str">
        <x:v>05 Behavior</x:v>
      </x:c>
      <x:c r="C80" s="14" t="str">
        <x:v>Preference</x:v>
      </x:c>
      <x:c r="D80" s="14" t="str">
        <x:v>偏好与厌恶档案</x:v>
      </x:c>
      <x:c r="E80" s="14" t="str">
        <x:v>从真实选择和重复行为中积累玩具、食物、互动方式偏好。</x:v>
      </x:c>
      <x:c r="F80" s="14" t="str">
        <x:v>宠主</x:v>
      </x:c>
      <x:c r="G80" s="14" t="str">
        <x:v>偏好学习</x:v>
      </x:c>
      <x:c r="H80" s="14" t="str">
        <x:v>是</x:v>
      </x:c>
      <x:c r="I80" s="14" t="str">
        <x:v>PreferenceUpdated</x:v>
      </x:c>
      <x:c r="J80" s="14" t="str"/>
      <x:c r="K80" s="14" t="str">
        <x:v>v0.2</x:v>
      </x:c>
      <x:c r="L80" s="14" t="str">
        <x:v>P1</x:v>
      </x:c>
      <x:c r="M80" s="14" t="n">
        <x:v>3</x:v>
      </x:c>
      <x:c r="N80" s="14" t="n">
        <x:v>4</x:v>
      </x:c>
      <x:c r="O80" s="14" t="n">
        <x:v>5</x:v>
      </x:c>
      <x:c r="P80" s="14" t="n">
        <x:v>3</x:v>
      </x:c>
      <x:c r="Q80" s="14" t="n">
        <x:v>3</x:v>
      </x:c>
      <x:c r="R80" s="14" t="n">
        <x:v>1</x:v>
      </x:c>
      <x:c r="S80" s="14" t="n">
        <x:f>ROUND(0.22*M80+0.28*N80+0.20*O80+0.15*P80+0.08*(6-Q80)+0.07*(6-R80),2)</x:f>
        <x:v>3.82</x:v>
      </x:c>
      <x:c r="T80" s="14" t="str">
        <x:v>低</x:v>
      </x:c>
      <x:c r="U80" s="25"/>
      <x:c r="V80" s="25"/>
      <x:c r="W80" s="25"/>
      <x:c r="X80" s="25"/>
      <x:c r="Y80" s="25"/>
      <x:c r="Z80" s="25"/>
    </x:row>
    <x:row r="81">
      <x:c r="A81" s="14" t="str">
        <x:v>PLI-080</x:v>
      </x:c>
      <x:c r="B81" s="14" t="str">
        <x:v>05 Behavior</x:v>
      </x:c>
      <x:c r="C81" s="14" t="str">
        <x:v>Context</x:v>
      </x:c>
      <x:c r="D81" s="14" t="str">
        <x:v>环境上下文记录</x:v>
      </x:c>
      <x:c r="E81" s="14" t="str">
        <x:v>把搬家、寄养、新宠、访客、噪声等事件作为行为解释上下文。</x:v>
      </x:c>
      <x:c r="F81" s="14" t="str">
        <x:v>宠主</x:v>
      </x:c>
      <x:c r="G81" s="14" t="str">
        <x:v>无/规则</x:v>
      </x:c>
      <x:c r="H81" s="14" t="str">
        <x:v>否</x:v>
      </x:c>
      <x:c r="I81" s="14" t="str">
        <x:v>ContextEvent</x:v>
      </x:c>
      <x:c r="J81" s="14" t="str"/>
      <x:c r="K81" s="14" t="str">
        <x:v>v0.2</x:v>
      </x:c>
      <x:c r="L81" s="14" t="str">
        <x:v>P1</x:v>
      </x:c>
      <x:c r="M81" s="14" t="n">
        <x:v>2</x:v>
      </x:c>
      <x:c r="N81" s="14" t="n">
        <x:v>4</x:v>
      </x:c>
      <x:c r="O81" s="14" t="n">
        <x:v>5</x:v>
      </x:c>
      <x:c r="P81" s="14" t="n">
        <x:v>2</x:v>
      </x:c>
      <x:c r="Q81" s="14" t="n">
        <x:v>2</x:v>
      </x:c>
      <x:c r="R81" s="14" t="n">
        <x:v>1</x:v>
      </x:c>
      <x:c r="S81" s="14" t="n">
        <x:f>ROUND(0.22*M81+0.28*N81+0.20*O81+0.15*P81+0.08*(6-Q81)+0.07*(6-R81),2)</x:f>
        <x:v>3.53</x:v>
      </x:c>
      <x:c r="T81" s="14" t="str">
        <x:v>低</x:v>
      </x:c>
      <x:c r="U81" s="25"/>
      <x:c r="V81" s="25"/>
      <x:c r="W81" s="25"/>
      <x:c r="X81" s="25"/>
      <x:c r="Y81" s="25"/>
      <x:c r="Z81" s="25"/>
    </x:row>
    <x:row r="82">
      <x:c r="A82" s="14" t="str">
        <x:v>PLI-081</x:v>
      </x:c>
      <x:c r="B82" s="14" t="str">
        <x:v>05 Behavior</x:v>
      </x:c>
      <x:c r="C82" s="14" t="str">
        <x:v>Professional</x:v>
      </x:c>
      <x:c r="D82" s="14" t="str">
        <x:v>行为咨询包</x:v>
      </x:c>
      <x:c r="E82" s="14" t="str">
        <x:v>将ABC、视频、趋势和环境变化汇总给训练师/兽医行为学家。</x:v>
      </x:c>
      <x:c r="F82" s="14" t="str">
        <x:v>宠主</x:v>
      </x:c>
      <x:c r="G82" s="14" t="str">
        <x:v>摘要</x:v>
      </x:c>
      <x:c r="H82" s="14" t="str">
        <x:v>是</x:v>
      </x:c>
      <x:c r="I82" s="14" t="str">
        <x:v>BehaviorBriefGenerated</x:v>
      </x:c>
      <x:c r="J82" s="14" t="str"/>
      <x:c r="K82" s="14" t="str">
        <x:v>v1.0</x:v>
      </x:c>
      <x:c r="L82" s="14" t="str">
        <x:v>P2</x:v>
      </x:c>
      <x:c r="M82" s="14" t="n">
        <x:v>1</x:v>
      </x:c>
      <x:c r="N82" s="14" t="n">
        <x:v>5</x:v>
      </x:c>
      <x:c r="O82" s="14" t="n">
        <x:v>5</x:v>
      </x:c>
      <x:c r="P82" s="14" t="n">
        <x:v>3</x:v>
      </x:c>
      <x:c r="Q82" s="14" t="n">
        <x:v>3</x:v>
      </x:c>
      <x:c r="R82" s="14" t="n">
        <x:v>3</x:v>
      </x:c>
      <x:c r="S82" s="14" t="n">
        <x:f>ROUND(0.22*M82+0.28*N82+0.20*O82+0.15*P82+0.08*(6-Q82)+0.07*(6-R82),2)</x:f>
        <x:v>3.52</x:v>
      </x:c>
      <x:c r="T82" s="14" t="str">
        <x:v>低</x:v>
      </x:c>
      <x:c r="U82" s="25"/>
      <x:c r="V82" s="25"/>
      <x:c r="W82" s="25"/>
      <x:c r="X82" s="25"/>
      <x:c r="Y82" s="25"/>
      <x:c r="Z82" s="25"/>
    </x:row>
    <x:row r="83">
      <x:c r="A83" s="14" t="str">
        <x:v>PLI-082</x:v>
      </x:c>
      <x:c r="B83" s="14" t="str">
        <x:v>05 Behavior</x:v>
      </x:c>
      <x:c r="C83" s="14" t="str">
        <x:v>Intervention</x:v>
      </x:c>
      <x:c r="D83" s="14" t="str">
        <x:v>行为干预计划记录</x:v>
      </x:c>
      <x:c r="E83" s="14" t="str">
        <x:v>记录专业建议的脱敏、反条件化、环境管理等计划与执行。</x:v>
      </x:c>
      <x:c r="F83" s="14" t="str">
        <x:v>宠主</x:v>
      </x:c>
      <x:c r="G83" s="14" t="str">
        <x:v>无/规则</x:v>
      </x:c>
      <x:c r="H83" s="14" t="str">
        <x:v>否</x:v>
      </x:c>
      <x:c r="I83" s="14" t="str">
        <x:v>BehaviorPlanCreated</x:v>
      </x:c>
      <x:c r="J83" s="14" t="str"/>
      <x:c r="K83" s="14" t="str">
        <x:v>v1.0</x:v>
      </x:c>
      <x:c r="L83" s="14" t="str">
        <x:v>P2</x:v>
      </x:c>
      <x:c r="M83" s="14" t="n">
        <x:v>2</x:v>
      </x:c>
      <x:c r="N83" s="14" t="n">
        <x:v>5</x:v>
      </x:c>
      <x:c r="O83" s="14" t="n">
        <x:v>5</x:v>
      </x:c>
      <x:c r="P83" s="14" t="n">
        <x:v>3</x:v>
      </x:c>
      <x:c r="Q83" s="14" t="n">
        <x:v>4</x:v>
      </x:c>
      <x:c r="R83" s="14" t="n">
        <x:v>4</x:v>
      </x:c>
      <x:c r="S83" s="14" t="n">
        <x:f>ROUND(0.22*M83+0.28*N83+0.20*O83+0.15*P83+0.08*(6-Q83)+0.07*(6-R83),2)</x:f>
        <x:v>3.59</x:v>
      </x:c>
      <x:c r="T83" s="14" t="str">
        <x:v>中</x:v>
      </x:c>
      <x:c r="U83" s="25"/>
      <x:c r="V83" s="25"/>
      <x:c r="W83" s="25"/>
      <x:c r="X83" s="25"/>
      <x:c r="Y83" s="25"/>
      <x:c r="Z83" s="25"/>
    </x:row>
    <x:row r="84">
      <x:c r="A84" s="14" t="str">
        <x:v>PLI-083</x:v>
      </x:c>
      <x:c r="B84" s="14" t="str">
        <x:v>05 Behavior</x:v>
      </x:c>
      <x:c r="C84" s="14" t="str">
        <x:v>Outcome</x:v>
      </x:c>
      <x:c r="D84" s="14" t="str">
        <x:v>行为干预结果</x:v>
      </x:c>
      <x:c r="E84" s="14" t="str">
        <x:v>比较干预前后频率、强度、恢复速度和场景泛化。</x:v>
      </x:c>
      <x:c r="F84" s="14" t="str">
        <x:v>宠主</x:v>
      </x:c>
      <x:c r="G84" s="14" t="str">
        <x:v>效果分析</x:v>
      </x:c>
      <x:c r="H84" s="14" t="str">
        <x:v>是</x:v>
      </x:c>
      <x:c r="I84" s="14" t="str">
        <x:v>BehaviorOutcome</x:v>
      </x:c>
      <x:c r="J84" s="14" t="str"/>
      <x:c r="K84" s="14" t="str">
        <x:v>v1.0</x:v>
      </x:c>
      <x:c r="L84" s="14" t="str">
        <x:v>P2</x:v>
      </x:c>
      <x:c r="M84" s="14" t="n">
        <x:v>2</x:v>
      </x:c>
      <x:c r="N84" s="14" t="n">
        <x:v>5</x:v>
      </x:c>
      <x:c r="O84" s="14" t="n">
        <x:v>5</x:v>
      </x:c>
      <x:c r="P84" s="14" t="n">
        <x:v>3</x:v>
      </x:c>
      <x:c r="Q84" s="14" t="n">
        <x:v>3</x:v>
      </x:c>
      <x:c r="R84" s="14" t="n">
        <x:v>2</x:v>
      </x:c>
      <x:c r="S84" s="14" t="n">
        <x:f>ROUND(0.22*M84+0.28*N84+0.20*O84+0.15*P84+0.08*(6-Q84)+0.07*(6-R84),2)</x:f>
        <x:v>3.81</x:v>
      </x:c>
      <x:c r="T84" s="14" t="str">
        <x:v>低</x:v>
      </x:c>
      <x:c r="U84" s="25"/>
      <x:c r="V84" s="25"/>
      <x:c r="W84" s="25"/>
      <x:c r="X84" s="25"/>
      <x:c r="Y84" s="25"/>
      <x:c r="Z84" s="25"/>
    </x:row>
    <x:row r="85">
      <x:c r="A85" s="14" t="str">
        <x:v>PLI-084</x:v>
      </x:c>
      <x:c r="B85" s="14" t="str">
        <x:v>05 Behavior</x:v>
      </x:c>
      <x:c r="C85" s="14" t="str">
        <x:v>Safety</x:v>
      </x:c>
      <x:c r="D85" s="14" t="str">
        <x:v>行为建议安全过滤</x:v>
      </x:c>
      <x:c r="E85" s="14" t="str">
        <x:v>禁止生成电击、暴力压制等高风险训练/行为建议。</x:v>
      </x:c>
      <x:c r="F85" s="14" t="str">
        <x:v>宠主</x:v>
      </x:c>
      <x:c r="G85" s="14" t="str">
        <x:v>安全规则</x:v>
      </x:c>
      <x:c r="H85" s="14" t="str">
        <x:v>规则为主</x:v>
      </x:c>
      <x:c r="I85" s="14" t="str">
        <x:v>SafetyPolicyApplied</x:v>
      </x:c>
      <x:c r="J85" s="14" t="str"/>
      <x:c r="K85" s="14" t="str">
        <x:v>v0.2</x:v>
      </x:c>
      <x:c r="L85" s="14" t="str">
        <x:v>P1</x:v>
      </x:c>
      <x:c r="M85" s="14" t="n">
        <x:v>2</x:v>
      </x:c>
      <x:c r="N85" s="14" t="n">
        <x:v>5</x:v>
      </x:c>
      <x:c r="O85" s="14" t="n">
        <x:v>4</x:v>
      </x:c>
      <x:c r="P85" s="14" t="n">
        <x:v>1</x:v>
      </x:c>
      <x:c r="Q85" s="14" t="n">
        <x:v>3</x:v>
      </x:c>
      <x:c r="R85" s="14" t="n">
        <x:v>5</x:v>
      </x:c>
      <x:c r="S85" s="14" t="n">
        <x:f>ROUND(0.22*M85+0.28*N85+0.20*O85+0.15*P85+0.08*(6-Q85)+0.07*(6-R85),2)</x:f>
        <x:v>3.1</x:v>
      </x:c>
      <x:c r="T85" s="14" t="str">
        <x:v>高</x:v>
      </x:c>
      <x:c r="U85" s="25"/>
      <x:c r="V85" s="25"/>
      <x:c r="W85" s="25"/>
      <x:c r="X85" s="25"/>
      <x:c r="Y85" s="25"/>
      <x:c r="Z85" s="25"/>
    </x:row>
    <x:row r="86">
      <x:c r="A86" s="14" t="str">
        <x:v>PLI-085</x:v>
      </x:c>
      <x:c r="B86" s="14" t="str">
        <x:v>06 Training</x:v>
      </x:c>
      <x:c r="C86" s="14" t="str">
        <x:v>Goals</x:v>
      </x:c>
      <x:c r="D86" s="14" t="str">
        <x:v>训练目标创建</x:v>
      </x:c>
      <x:c r="E86" s="14" t="str">
        <x:v>主人选择召回、坐下、独处、牵引等可观察训练目标。</x:v>
      </x:c>
      <x:c r="F86" s="14" t="str">
        <x:v>宠主</x:v>
      </x:c>
      <x:c r="G86" s="14" t="str">
        <x:v>无/规则</x:v>
      </x:c>
      <x:c r="H86" s="14" t="str">
        <x:v>否</x:v>
      </x:c>
      <x:c r="I86" s="14" t="str">
        <x:v>TrainingGoalCreated</x:v>
      </x:c>
      <x:c r="J86" s="14" t="str"/>
      <x:c r="K86" s="14" t="str">
        <x:v>v0.2</x:v>
      </x:c>
      <x:c r="L86" s="14" t="str">
        <x:v>P1</x:v>
      </x:c>
      <x:c r="M86" s="14" t="n">
        <x:v>3</x:v>
      </x:c>
      <x:c r="N86" s="14" t="n">
        <x:v>5</x:v>
      </x:c>
      <x:c r="O86" s="14" t="n">
        <x:v>4</x:v>
      </x:c>
      <x:c r="P86" s="14" t="n">
        <x:v>3</x:v>
      </x:c>
      <x:c r="Q86" s="14" t="n">
        <x:v>2</x:v>
      </x:c>
      <x:c r="R86" s="14" t="n">
        <x:v>1</x:v>
      </x:c>
      <x:c r="S86" s="14" t="n">
        <x:f>ROUND(0.22*M86+0.28*N86+0.20*O86+0.15*P86+0.08*(6-Q86)+0.07*(6-R86),2)</x:f>
        <x:v>3.98</x:v>
      </x:c>
      <x:c r="T86" s="14" t="str">
        <x:v>低</x:v>
      </x:c>
      <x:c r="U86" s="25"/>
      <x:c r="V86" s="25"/>
      <x:c r="W86" s="25"/>
      <x:c r="X86" s="25"/>
      <x:c r="Y86" s="25"/>
      <x:c r="Z86" s="25"/>
    </x:row>
    <x:row r="87">
      <x:c r="A87" s="14" t="str">
        <x:v>PLI-086</x:v>
      </x:c>
      <x:c r="B87" s="14" t="str">
        <x:v>06 Training</x:v>
      </x:c>
      <x:c r="C87" s="14" t="str">
        <x:v>Curriculum</x:v>
      </x:c>
      <x:c r="D87" s="14" t="str">
        <x:v>目标分解</x:v>
      </x:c>
      <x:c r="E87" s="14" t="str">
        <x:v>把复杂目标拆成可递进、可测试的小步骤。</x:v>
      </x:c>
      <x:c r="F87" s="14" t="str">
        <x:v>宠主</x:v>
      </x:c>
      <x:c r="G87" s="14" t="str">
        <x:v>计划生成</x:v>
      </x:c>
      <x:c r="H87" s="14" t="str">
        <x:v>是</x:v>
      </x:c>
      <x:c r="I87" s="14" t="str">
        <x:v>TrainingPlanCreated</x:v>
      </x:c>
      <x:c r="J87" s="14" t="str"/>
      <x:c r="K87" s="14" t="str">
        <x:v>v0.2</x:v>
      </x:c>
      <x:c r="L87" s="14" t="str">
        <x:v>P1</x:v>
      </x:c>
      <x:c r="M87" s="14" t="n">
        <x:v>3</x:v>
      </x:c>
      <x:c r="N87" s="14" t="n">
        <x:v>5</x:v>
      </x:c>
      <x:c r="O87" s="14" t="n">
        <x:v>4</x:v>
      </x:c>
      <x:c r="P87" s="14" t="n">
        <x:v>3</x:v>
      </x:c>
      <x:c r="Q87" s="14" t="n">
        <x:v>3</x:v>
      </x:c>
      <x:c r="R87" s="14" t="n">
        <x:v>2</x:v>
      </x:c>
      <x:c r="S87" s="14" t="n">
        <x:f>ROUND(0.22*M87+0.28*N87+0.20*O87+0.15*P87+0.08*(6-Q87)+0.07*(6-R87),2)</x:f>
        <x:v>3.83</x:v>
      </x:c>
      <x:c r="T87" s="14" t="str">
        <x:v>低</x:v>
      </x:c>
      <x:c r="U87" s="25"/>
      <x:c r="V87" s="25"/>
      <x:c r="W87" s="25"/>
      <x:c r="X87" s="25"/>
      <x:c r="Y87" s="25"/>
      <x:c r="Z87" s="25"/>
    </x:row>
    <x:row r="88">
      <x:c r="A88" s="14" t="str">
        <x:v>PLI-087</x:v>
      </x:c>
      <x:c r="B88" s="14" t="str">
        <x:v>06 Training</x:v>
      </x:c>
      <x:c r="C88" s="14" t="str">
        <x:v>Session</x:v>
      </x:c>
      <x:c r="D88" s="14" t="str">
        <x:v>训练会话记录</x:v>
      </x:c>
      <x:c r="E88" s="14" t="str">
        <x:v>记录环境、干扰、口令、奖励、成功率、反应延迟和时长。</x:v>
      </x:c>
      <x:c r="F88" s="14" t="str">
        <x:v>宠主</x:v>
      </x:c>
      <x:c r="G88" s="14" t="str">
        <x:v>无/规则</x:v>
      </x:c>
      <x:c r="H88" s="14" t="str">
        <x:v>否</x:v>
      </x:c>
      <x:c r="I88" s="14" t="str">
        <x:v>TrainingSession</x:v>
      </x:c>
      <x:c r="J88" s="14" t="str"/>
      <x:c r="K88" s="14" t="str">
        <x:v>v0.2</x:v>
      </x:c>
      <x:c r="L88" s="14" t="str">
        <x:v>P1</x:v>
      </x:c>
      <x:c r="M88" s="14" t="n">
        <x:v>3</x:v>
      </x:c>
      <x:c r="N88" s="14" t="n">
        <x:v>5</x:v>
      </x:c>
      <x:c r="O88" s="14" t="n">
        <x:v>5</x:v>
      </x:c>
      <x:c r="P88" s="14" t="n">
        <x:v>3</x:v>
      </x:c>
      <x:c r="Q88" s="14" t="n">
        <x:v>2</x:v>
      </x:c>
      <x:c r="R88" s="14" t="n">
        <x:v>1</x:v>
      </x:c>
      <x:c r="S88" s="14" t="n">
        <x:f>ROUND(0.22*M88+0.28*N88+0.20*O88+0.15*P88+0.08*(6-Q88)+0.07*(6-R88),2)</x:f>
        <x:v>4.18</x:v>
      </x:c>
      <x:c r="T88" s="14" t="str">
        <x:v>低</x:v>
      </x:c>
      <x:c r="U88" s="25"/>
      <x:c r="V88" s="25"/>
      <x:c r="W88" s="25"/>
      <x:c r="X88" s="25"/>
      <x:c r="Y88" s="25"/>
      <x:c r="Z88" s="25"/>
    </x:row>
    <x:row r="89">
      <x:c r="A89" s="14" t="str">
        <x:v>PLI-088</x:v>
      </x:c>
      <x:c r="B89" s="14" t="str">
        <x:v>06 Training</x:v>
      </x:c>
      <x:c r="C89" s="14" t="str">
        <x:v>Progress</x:v>
      </x:c>
      <x:c r="D89" s="14" t="str">
        <x:v>技能掌握度</x:v>
      </x:c>
      <x:c r="E89" s="14" t="str">
        <x:v>用真实会话数据计算不同环境下的成功率，不用主观“已学会”。</x:v>
      </x:c>
      <x:c r="F89" s="14" t="str">
        <x:v>宠主</x:v>
      </x:c>
      <x:c r="G89" s="14" t="str">
        <x:v>统计</x:v>
      </x:c>
      <x:c r="H89" s="14" t="str">
        <x:v>是</x:v>
      </x:c>
      <x:c r="I89" s="14" t="str">
        <x:v>SkillProgressUpdated</x:v>
      </x:c>
      <x:c r="J89" s="14" t="str"/>
      <x:c r="K89" s="14" t="str">
        <x:v>v0.2</x:v>
      </x:c>
      <x:c r="L89" s="14" t="str">
        <x:v>P1</x:v>
      </x:c>
      <x:c r="M89" s="14" t="n">
        <x:v>3</x:v>
      </x:c>
      <x:c r="N89" s="14" t="n">
        <x:v>5</x:v>
      </x:c>
      <x:c r="O89" s="14" t="n">
        <x:v>5</x:v>
      </x:c>
      <x:c r="P89" s="14" t="n">
        <x:v>3</x:v>
      </x:c>
      <x:c r="Q89" s="14" t="n">
        <x:v>3</x:v>
      </x:c>
      <x:c r="R89" s="14" t="n">
        <x:v>1</x:v>
      </x:c>
      <x:c r="S89" s="14" t="n">
        <x:f>ROUND(0.22*M89+0.28*N89+0.20*O89+0.15*P89+0.08*(6-Q89)+0.07*(6-R89),2)</x:f>
        <x:v>4.1</x:v>
      </x:c>
      <x:c r="T89" s="14" t="str">
        <x:v>低</x:v>
      </x:c>
      <x:c r="U89" s="25"/>
      <x:c r="V89" s="25"/>
      <x:c r="W89" s="25"/>
      <x:c r="X89" s="25"/>
      <x:c r="Y89" s="25"/>
      <x:c r="Z89" s="25"/>
    </x:row>
    <x:row r="90">
      <x:c r="A90" s="14" t="str">
        <x:v>PLI-089</x:v>
      </x:c>
      <x:c r="B90" s="14" t="str">
        <x:v>06 Training</x:v>
      </x:c>
      <x:c r="C90" s="14" t="str">
        <x:v>Generalization</x:v>
      </x:c>
      <x:c r="D90" s="14" t="str">
        <x:v>环境泛化矩阵</x:v>
      </x:c>
      <x:c r="E90" s="14" t="str">
        <x:v>区分室内/户外、安静/高干扰、熟悉/陌生对象的表现。</x:v>
      </x:c>
      <x:c r="F90" s="14" t="str">
        <x:v>宠主</x:v>
      </x:c>
      <x:c r="G90" s="14" t="str">
        <x:v>无/规则</x:v>
      </x:c>
      <x:c r="H90" s="14" t="str">
        <x:v>否</x:v>
      </x:c>
      <x:c r="I90" s="14" t="str">
        <x:v>SkillContextUpdated</x:v>
      </x:c>
      <x:c r="J90" s="14" t="str"/>
      <x:c r="K90" s="14" t="str">
        <x:v>v1.0</x:v>
      </x:c>
      <x:c r="L90" s="14" t="str">
        <x:v>P2</x:v>
      </x:c>
      <x:c r="M90" s="14" t="n">
        <x:v>2</x:v>
      </x:c>
      <x:c r="N90" s="14" t="n">
        <x:v>5</x:v>
      </x:c>
      <x:c r="O90" s="14" t="n">
        <x:v>5</x:v>
      </x:c>
      <x:c r="P90" s="14" t="n">
        <x:v>3</x:v>
      </x:c>
      <x:c r="Q90" s="14" t="n">
        <x:v>3</x:v>
      </x:c>
      <x:c r="R90" s="14" t="n">
        <x:v>1</x:v>
      </x:c>
      <x:c r="S90" s="14" t="n">
        <x:f>ROUND(0.22*M90+0.28*N90+0.20*O90+0.15*P90+0.08*(6-Q90)+0.07*(6-R90),2)</x:f>
        <x:v>3.88</x:v>
      </x:c>
      <x:c r="T90" s="14" t="str">
        <x:v>低</x:v>
      </x:c>
      <x:c r="U90" s="25"/>
      <x:c r="V90" s="25"/>
      <x:c r="W90" s="25"/>
      <x:c r="X90" s="25"/>
      <x:c r="Y90" s="25"/>
      <x:c r="Z90" s="25"/>
    </x:row>
    <x:row r="91">
      <x:c r="A91" s="14" t="str">
        <x:v>PLI-090</x:v>
      </x:c>
      <x:c r="B91" s="14" t="str">
        <x:v>06 Training</x:v>
      </x:c>
      <x:c r="C91" s="14" t="str">
        <x:v>Adaptive</x:v>
      </x:c>
      <x:c r="D91" s="14" t="str">
        <x:v>下一步训练建议</x:v>
      </x:c>
      <x:c r="E91" s="14" t="str">
        <x:v>根据失败条件和成功率调整难度、距离、奖励与训练长度。</x:v>
      </x:c>
      <x:c r="F91" s="14" t="str">
        <x:v>宠主</x:v>
      </x:c>
      <x:c r="G91" s="14" t="str">
        <x:v>个性化计划</x:v>
      </x:c>
      <x:c r="H91" s="14" t="str">
        <x:v>是</x:v>
      </x:c>
      <x:c r="I91" s="14" t="str">
        <x:v>TrainingRecommendation</x:v>
      </x:c>
      <x:c r="J91" s="14" t="str"/>
      <x:c r="K91" s="14" t="str">
        <x:v>v1.0</x:v>
      </x:c>
      <x:c r="L91" s="14" t="str">
        <x:v>P2</x:v>
      </x:c>
      <x:c r="M91" s="14" t="n">
        <x:v>3</x:v>
      </x:c>
      <x:c r="N91" s="14" t="n">
        <x:v>5</x:v>
      </x:c>
      <x:c r="O91" s="14" t="n">
        <x:v>5</x:v>
      </x:c>
      <x:c r="P91" s="14" t="n">
        <x:v>3</x:v>
      </x:c>
      <x:c r="Q91" s="14" t="n">
        <x:v>4</x:v>
      </x:c>
      <x:c r="R91" s="14" t="n">
        <x:v>3</x:v>
      </x:c>
      <x:c r="S91" s="14" t="n">
        <x:f>ROUND(0.22*M91+0.28*N91+0.20*O91+0.15*P91+0.08*(6-Q91)+0.07*(6-R91),2)</x:f>
        <x:v>3.88</x:v>
      </x:c>
      <x:c r="T91" s="14" t="str">
        <x:v>中</x:v>
      </x:c>
      <x:c r="U91" s="25"/>
      <x:c r="V91" s="25"/>
      <x:c r="W91" s="25"/>
      <x:c r="X91" s="25"/>
      <x:c r="Y91" s="25"/>
      <x:c r="Z91" s="25"/>
    </x:row>
    <x:row r="92">
      <x:c r="A92" s="14" t="str">
        <x:v>PLI-091</x:v>
      </x:c>
      <x:c r="B92" s="14" t="str">
        <x:v>06 Training</x:v>
      </x:c>
      <x:c r="C92" s="14" t="str">
        <x:v>Reward</x:v>
      </x:c>
      <x:c r="D92" s="14" t="str">
        <x:v>奖励偏好库</x:v>
      </x:c>
      <x:c r="E92" s="14" t="str">
        <x:v>记录食物、玩具、互动等奖励在不同场景的有效性。</x:v>
      </x:c>
      <x:c r="F92" s="14" t="str">
        <x:v>宠主</x:v>
      </x:c>
      <x:c r="G92" s="14" t="str">
        <x:v>偏好学习</x:v>
      </x:c>
      <x:c r="H92" s="14" t="str">
        <x:v>是</x:v>
      </x:c>
      <x:c r="I92" s="14" t="str">
        <x:v>RewardPreferenceUpdated</x:v>
      </x:c>
      <x:c r="J92" s="14" t="str"/>
      <x:c r="K92" s="14" t="str">
        <x:v>v0.2</x:v>
      </x:c>
      <x:c r="L92" s="14" t="str">
        <x:v>P1</x:v>
      </x:c>
      <x:c r="M92" s="14" t="n">
        <x:v>3</x:v>
      </x:c>
      <x:c r="N92" s="14" t="n">
        <x:v>4</x:v>
      </x:c>
      <x:c r="O92" s="14" t="n">
        <x:v>5</x:v>
      </x:c>
      <x:c r="P92" s="14" t="n">
        <x:v>2</x:v>
      </x:c>
      <x:c r="Q92" s="14" t="n">
        <x:v>2</x:v>
      </x:c>
      <x:c r="R92" s="14" t="n">
        <x:v>1</x:v>
      </x:c>
      <x:c r="S92" s="14" t="n">
        <x:f>ROUND(0.22*M92+0.28*N92+0.20*O92+0.15*P92+0.08*(6-Q92)+0.07*(6-R92),2)</x:f>
        <x:v>3.75</x:v>
      </x:c>
      <x:c r="T92" s="14" t="str">
        <x:v>低</x:v>
      </x:c>
      <x:c r="U92" s="25"/>
      <x:c r="V92" s="25"/>
      <x:c r="W92" s="25"/>
      <x:c r="X92" s="25"/>
      <x:c r="Y92" s="25"/>
      <x:c r="Z92" s="25"/>
    </x:row>
    <x:row r="93">
      <x:c r="A93" s="14" t="str">
        <x:v>PLI-092</x:v>
      </x:c>
      <x:c r="B93" s="14" t="str">
        <x:v>06 Training</x:v>
      </x:c>
      <x:c r="C93" s="14" t="str">
        <x:v>Clicker</x:v>
      </x:c>
      <x:c r="D93" s="14" t="str">
        <x:v>训练工具</x:v>
      </x:c>
      <x:c r="E93" s="14" t="str">
        <x:v>提供clicker/计时器/成功失败按钮等轻量训练辅助。</x:v>
      </x:c>
      <x:c r="F93" s="14" t="str">
        <x:v>宠主</x:v>
      </x:c>
      <x:c r="G93" s="14" t="str">
        <x:v>无/规则</x:v>
      </x:c>
      <x:c r="H93" s="14" t="str">
        <x:v>否</x:v>
      </x:c>
      <x:c r="I93" s="14" t="str">
        <x:v>TrainingToolUsed</x:v>
      </x:c>
      <x:c r="J93" s="14" t="str"/>
      <x:c r="K93" s="14" t="str">
        <x:v>v0.2</x:v>
      </x:c>
      <x:c r="L93" s="14" t="str">
        <x:v>P1</x:v>
      </x:c>
      <x:c r="M93" s="14" t="n">
        <x:v>3</x:v>
      </x:c>
      <x:c r="N93" s="14" t="n">
        <x:v>4</x:v>
      </x:c>
      <x:c r="O93" s="14" t="n">
        <x:v>3</x:v>
      </x:c>
      <x:c r="P93" s="14" t="n">
        <x:v>2</x:v>
      </x:c>
      <x:c r="Q93" s="14" t="n">
        <x:v>2</x:v>
      </x:c>
      <x:c r="R93" s="14" t="n">
        <x:v>1</x:v>
      </x:c>
      <x:c r="S93" s="14" t="n">
        <x:f>ROUND(0.22*M93+0.28*N93+0.20*O93+0.15*P93+0.08*(6-Q93)+0.07*(6-R93),2)</x:f>
        <x:v>3.35</x:v>
      </x:c>
      <x:c r="T93" s="14" t="str">
        <x:v>低</x:v>
      </x:c>
      <x:c r="U93" s="25"/>
      <x:c r="V93" s="25"/>
      <x:c r="W93" s="25"/>
      <x:c r="X93" s="25"/>
      <x:c r="Y93" s="25"/>
      <x:c r="Z93" s="25"/>
    </x:row>
    <x:row r="94">
      <x:c r="A94" s="14" t="str">
        <x:v>PLI-093</x:v>
      </x:c>
      <x:c r="B94" s="14" t="str">
        <x:v>06 Training</x:v>
      </x:c>
      <x:c r="C94" s="14" t="str">
        <x:v>Family</x:v>
      </x:c>
      <x:c r="D94" s="14" t="str">
        <x:v>家庭训练一致性</x:v>
      </x:c>
      <x:c r="E94" s="14" t="str">
        <x:v>统一口令、奖励和禁忌，减少不同成员训练冲突。</x:v>
      </x:c>
      <x:c r="F94" s="14" t="str">
        <x:v>宠主</x:v>
      </x:c>
      <x:c r="G94" s="14" t="str">
        <x:v>无/规则</x:v>
      </x:c>
      <x:c r="H94" s="14" t="str">
        <x:v>否</x:v>
      </x:c>
      <x:c r="I94" s="14" t="str">
        <x:v>TrainingProtocolUpdated</x:v>
      </x:c>
      <x:c r="J94" s="14" t="str"/>
      <x:c r="K94" s="14" t="str">
        <x:v>v1.0</x:v>
      </x:c>
      <x:c r="L94" s="14" t="str">
        <x:v>P2</x:v>
      </x:c>
      <x:c r="M94" s="14" t="n">
        <x:v>3</x:v>
      </x:c>
      <x:c r="N94" s="14" t="n">
        <x:v>5</x:v>
      </x:c>
      <x:c r="O94" s="14" t="n">
        <x:v>4</x:v>
      </x:c>
      <x:c r="P94" s="14" t="n">
        <x:v>2</x:v>
      </x:c>
      <x:c r="Q94" s="14" t="n">
        <x:v>3</x:v>
      </x:c>
      <x:c r="R94" s="14" t="n">
        <x:v>2</x:v>
      </x:c>
      <x:c r="S94" s="14" t="n">
        <x:f>ROUND(0.22*M94+0.28*N94+0.20*O94+0.15*P94+0.08*(6-Q94)+0.07*(6-R94),2)</x:f>
        <x:v>3.68</x:v>
      </x:c>
      <x:c r="T94" s="14" t="str">
        <x:v>低</x:v>
      </x:c>
      <x:c r="U94" s="25"/>
      <x:c r="V94" s="25"/>
      <x:c r="W94" s="25"/>
      <x:c r="X94" s="25"/>
      <x:c r="Y94" s="25"/>
      <x:c r="Z94" s="25"/>
    </x:row>
    <x:row r="95">
      <x:c r="A95" s="14" t="str">
        <x:v>PLI-094</x:v>
      </x:c>
      <x:c r="B95" s="14" t="str">
        <x:v>06 Training</x:v>
      </x:c>
      <x:c r="C95" s="14" t="str">
        <x:v>Trainer</x:v>
      </x:c>
      <x:c r="D95" s="14" t="str">
        <x:v>训练师协作</x:v>
      </x:c>
      <x:c r="E95" s="14" t="str">
        <x:v>允许训练师查看授权数据、发布计划、评论会话并查看执行情况。</x:v>
      </x:c>
      <x:c r="F95" s="14" t="str">
        <x:v>宠主</x:v>
      </x:c>
      <x:c r="G95" s="14" t="str">
        <x:v>无/规则</x:v>
      </x:c>
      <x:c r="H95" s="14" t="str">
        <x:v>否</x:v>
      </x:c>
      <x:c r="I95" s="14" t="str">
        <x:v>TrainerPlanShared</x:v>
      </x:c>
      <x:c r="J95" s="14" t="str"/>
      <x:c r="K95" s="14" t="str">
        <x:v>v1.0</x:v>
      </x:c>
      <x:c r="L95" s="14" t="str">
        <x:v>P2</x:v>
      </x:c>
      <x:c r="M95" s="14" t="n">
        <x:v>2</x:v>
      </x:c>
      <x:c r="N95" s="14" t="n">
        <x:v>5</x:v>
      </x:c>
      <x:c r="O95" s="14" t="n">
        <x:v>5</x:v>
      </x:c>
      <x:c r="P95" s="14" t="n">
        <x:v>4</x:v>
      </x:c>
      <x:c r="Q95" s="14" t="n">
        <x:v>4</x:v>
      </x:c>
      <x:c r="R95" s="14" t="n">
        <x:v>3</x:v>
      </x:c>
      <x:c r="S95" s="14" t="n">
        <x:f>ROUND(0.22*M95+0.28*N95+0.20*O95+0.15*P95+0.08*(6-Q95)+0.07*(6-R95),2)</x:f>
        <x:v>3.81</x:v>
      </x:c>
      <x:c r="T95" s="14" t="str">
        <x:v>低</x:v>
      </x:c>
      <x:c r="U95" s="25"/>
      <x:c r="V95" s="25"/>
      <x:c r="W95" s="25"/>
      <x:c r="X95" s="25"/>
      <x:c r="Y95" s="25"/>
      <x:c r="Z95" s="25"/>
    </x:row>
    <x:row r="96">
      <x:c r="A96" s="14" t="str">
        <x:v>PLI-095</x:v>
      </x:c>
      <x:c r="B96" s="14" t="str">
        <x:v>06 Training</x:v>
      </x:c>
      <x:c r="C96" s="14" t="str">
        <x:v>Video</x:v>
      </x:c>
      <x:c r="D96" s="14" t="str">
        <x:v>动作/会话视频复盘</x:v>
      </x:c>
      <x:c r="E96" s="14" t="str">
        <x:v>上传短视频用于姿态/时序分析或训练师反馈。</x:v>
      </x:c>
      <x:c r="F96" s="14" t="str">
        <x:v>宠主</x:v>
      </x:c>
      <x:c r="G96" s="14" t="str">
        <x:v>CV/摘要</x:v>
      </x:c>
      <x:c r="H96" s="14" t="str">
        <x:v>是</x:v>
      </x:c>
      <x:c r="I96" s="14" t="str">
        <x:v>TrainingArtifactAdded</x:v>
      </x:c>
      <x:c r="J96" s="14" t="str"/>
      <x:c r="K96" s="14" t="str">
        <x:v>v1.0</x:v>
      </x:c>
      <x:c r="L96" s="14" t="str">
        <x:v>P2</x:v>
      </x:c>
      <x:c r="M96" s="14" t="n">
        <x:v>2</x:v>
      </x:c>
      <x:c r="N96" s="14" t="n">
        <x:v>4</x:v>
      </x:c>
      <x:c r="O96" s="14" t="n">
        <x:v>5</x:v>
      </x:c>
      <x:c r="P96" s="14" t="n">
        <x:v>3</x:v>
      </x:c>
      <x:c r="Q96" s="14" t="n">
        <x:v>4</x:v>
      </x:c>
      <x:c r="R96" s="14" t="n">
        <x:v>3</x:v>
      </x:c>
      <x:c r="S96" s="14" t="n">
        <x:f>ROUND(0.22*M96+0.28*N96+0.20*O96+0.15*P96+0.08*(6-Q96)+0.07*(6-R96),2)</x:f>
        <x:v>3.38</x:v>
      </x:c>
      <x:c r="T96" s="14" t="str">
        <x:v>低</x:v>
      </x:c>
      <x:c r="U96" s="25"/>
      <x:c r="V96" s="25"/>
      <x:c r="W96" s="25"/>
      <x:c r="X96" s="25"/>
      <x:c r="Y96" s="25"/>
      <x:c r="Z96" s="25"/>
    </x:row>
    <x:row r="97">
      <x:c r="A97" s="14" t="str">
        <x:v>PLI-096</x:v>
      </x:c>
      <x:c r="B97" s="14" t="str">
        <x:v>06 Training</x:v>
      </x:c>
      <x:c r="C97" s="14" t="str">
        <x:v>Safety</x:v>
      </x:c>
      <x:c r="D97" s="14" t="str">
        <x:v>训练强度与健康约束</x:v>
      </x:c>
      <x:c r="E97" s="14" t="str">
        <x:v>结合年龄、关节/心肺等健康限制阻止不合适的高强度训练建议。</x:v>
      </x:c>
      <x:c r="F97" s="14" t="str">
        <x:v>宠主</x:v>
      </x:c>
      <x:c r="G97" s="14" t="str">
        <x:v>规则</x:v>
      </x:c>
      <x:c r="H97" s="14" t="str">
        <x:v>规则为主</x:v>
      </x:c>
      <x:c r="I97" s="14" t="str">
        <x:v>TrainingSafetyCheck</x:v>
      </x:c>
      <x:c r="J97" s="14" t="str"/>
      <x:c r="K97" s="14" t="str">
        <x:v>v1.0</x:v>
      </x:c>
      <x:c r="L97" s="14" t="str">
        <x:v>P2</x:v>
      </x:c>
      <x:c r="M97" s="14" t="n">
        <x:v>2</x:v>
      </x:c>
      <x:c r="N97" s="14" t="n">
        <x:v>5</x:v>
      </x:c>
      <x:c r="O97" s="14" t="n">
        <x:v>4</x:v>
      </x:c>
      <x:c r="P97" s="14" t="n">
        <x:v>2</x:v>
      </x:c>
      <x:c r="Q97" s="14" t="n">
        <x:v>4</x:v>
      </x:c>
      <x:c r="R97" s="14" t="n">
        <x:v>5</x:v>
      </x:c>
      <x:c r="S97" s="14" t="n">
        <x:f>ROUND(0.22*M97+0.28*N97+0.20*O97+0.15*P97+0.08*(6-Q97)+0.07*(6-R97),2)</x:f>
        <x:v>3.17</x:v>
      </x:c>
      <x:c r="T97" s="14" t="str">
        <x:v>高</x:v>
      </x:c>
      <x:c r="U97" s="25"/>
      <x:c r="V97" s="25"/>
      <x:c r="W97" s="25"/>
      <x:c r="X97" s="25"/>
      <x:c r="Y97" s="25"/>
      <x:c r="Z97" s="25"/>
    </x:row>
    <x:row r="98">
      <x:c r="A98" s="14" t="str">
        <x:v>PLI-097</x:v>
      </x:c>
      <x:c r="B98" s="14" t="str">
        <x:v>06 Training</x:v>
      </x:c>
      <x:c r="C98" s="14" t="str">
        <x:v>Programs</x:v>
      </x:c>
      <x:c r="D98" s="14" t="str">
        <x:v>标准课程模板</x:v>
      </x:c>
      <x:c r="E98" s="14" t="str">
        <x:v>幼宠社会化、牵引、召回、独处等模板，可由专业团队维护。</x:v>
      </x:c>
      <x:c r="F98" s="14" t="str">
        <x:v>宠主</x:v>
      </x:c>
      <x:c r="G98" s="14" t="str">
        <x:v>无/规则</x:v>
      </x:c>
      <x:c r="H98" s="14" t="str">
        <x:v>否</x:v>
      </x:c>
      <x:c r="I98" s="14" t="str">
        <x:v>TrainingProgramAssigned</x:v>
      </x:c>
      <x:c r="J98" s="14" t="str"/>
      <x:c r="K98" s="14" t="str">
        <x:v>v1.0</x:v>
      </x:c>
      <x:c r="L98" s="14" t="str">
        <x:v>P2</x:v>
      </x:c>
      <x:c r="M98" s="14" t="n">
        <x:v>2</x:v>
      </x:c>
      <x:c r="N98" s="14" t="n">
        <x:v>4</x:v>
      </x:c>
      <x:c r="O98" s="14" t="n">
        <x:v>3</x:v>
      </x:c>
      <x:c r="P98" s="14" t="n">
        <x:v>3</x:v>
      </x:c>
      <x:c r="Q98" s="14" t="n">
        <x:v>3</x:v>
      </x:c>
      <x:c r="R98" s="14" t="n">
        <x:v>2</x:v>
      </x:c>
      <x:c r="S98" s="14" t="n">
        <x:f>ROUND(0.22*M98+0.28*N98+0.20*O98+0.15*P98+0.08*(6-Q98)+0.07*(6-R98),2)</x:f>
        <x:v>3.13</x:v>
      </x:c>
      <x:c r="T98" s="14" t="str">
        <x:v>低</x:v>
      </x:c>
      <x:c r="U98" s="25"/>
      <x:c r="V98" s="25"/>
      <x:c r="W98" s="25"/>
      <x:c r="X98" s="25"/>
      <x:c r="Y98" s="25"/>
      <x:c r="Z98" s="25"/>
    </x:row>
    <x:row r="99">
      <x:c r="A99" s="14" t="str">
        <x:v>PLI-098</x:v>
      </x:c>
      <x:c r="B99" s="14" t="str">
        <x:v>06 Training</x:v>
      </x:c>
      <x:c r="C99" s="14" t="str">
        <x:v>Outcome</x:v>
      </x:c>
      <x:c r="D99" s="14" t="str">
        <x:v>训练成果证明</x:v>
      </x:c>
      <x:c r="E99" s="14" t="str">
        <x:v>生成基于数据的进步报告，可分享给家庭或训练师。</x:v>
      </x:c>
      <x:c r="F99" s="14" t="str">
        <x:v>宠主</x:v>
      </x:c>
      <x:c r="G99" s="14" t="str">
        <x:v>摘要/统计</x:v>
      </x:c>
      <x:c r="H99" s="14" t="str">
        <x:v>是</x:v>
      </x:c>
      <x:c r="I99" s="14" t="str">
        <x:v>TrainingReportGenerated</x:v>
      </x:c>
      <x:c r="J99" s="14" t="str"/>
      <x:c r="K99" s="14" t="str">
        <x:v>v1.0</x:v>
      </x:c>
      <x:c r="L99" s="14" t="str">
        <x:v>P2</x:v>
      </x:c>
      <x:c r="M99" s="14" t="n">
        <x:v>1</x:v>
      </x:c>
      <x:c r="N99" s="14" t="n">
        <x:v>4</x:v>
      </x:c>
      <x:c r="O99" s="14" t="n">
        <x:v>4</x:v>
      </x:c>
      <x:c r="P99" s="14" t="n">
        <x:v>2</x:v>
      </x:c>
      <x:c r="Q99" s="14" t="n">
        <x:v>2</x:v>
      </x:c>
      <x:c r="R99" s="14" t="n">
        <x:v>1</x:v>
      </x:c>
      <x:c r="S99" s="14" t="n">
        <x:f>ROUND(0.22*M99+0.28*N99+0.20*O99+0.15*P99+0.08*(6-Q99)+0.07*(6-R99),2)</x:f>
        <x:v>3.11</x:v>
      </x:c>
      <x:c r="T99" s="14" t="str">
        <x:v>低</x:v>
      </x:c>
      <x:c r="U99" s="25"/>
      <x:c r="V99" s="25"/>
      <x:c r="W99" s="25"/>
      <x:c r="X99" s="25"/>
      <x:c r="Y99" s="25"/>
      <x:c r="Z99" s="25"/>
    </x:row>
    <x:row r="100">
      <x:c r="A100" s="14" t="str">
        <x:v>PLI-099</x:v>
      </x:c>
      <x:c r="B100" s="14" t="str">
        <x:v>07 Welfare</x:v>
      </x:c>
      <x:c r="C100" s="14" t="str">
        <x:v>Framework</x:v>
      </x:c>
      <x:c r="D100" s="14" t="str">
        <x:v>五域福利档案</x:v>
      </x:c>
      <x:c r="E100" s="14" t="str">
        <x:v>从营养、环境、健康、行为互动和心理体验组织证据，不生成伪精确“开心分”。</x:v>
      </x:c>
      <x:c r="F100" s="14" t="str">
        <x:v>宠主</x:v>
      </x:c>
      <x:c r="G100" s="14" t="str">
        <x:v>无/规则</x:v>
      </x:c>
      <x:c r="H100" s="14" t="str">
        <x:v>否</x:v>
      </x:c>
      <x:c r="I100" s="14" t="str">
        <x:v>WelfareProfileUpdated</x:v>
      </x:c>
      <x:c r="J100" s="14" t="str"/>
      <x:c r="K100" s="14" t="str">
        <x:v>v1.0</x:v>
      </x:c>
      <x:c r="L100" s="14" t="str">
        <x:v>P2</x:v>
      </x:c>
      <x:c r="M100" s="14" t="n">
        <x:v>2</x:v>
      </x:c>
      <x:c r="N100" s="14" t="n">
        <x:v>5</x:v>
      </x:c>
      <x:c r="O100" s="14" t="n">
        <x:v>5</x:v>
      </x:c>
      <x:c r="P100" s="14" t="n">
        <x:v>3</x:v>
      </x:c>
      <x:c r="Q100" s="14" t="n">
        <x:v>4</x:v>
      </x:c>
      <x:c r="R100" s="14" t="n">
        <x:v>3</x:v>
      </x:c>
      <x:c r="S100" s="14" t="n">
        <x:f>ROUND(0.22*M100+0.28*N100+0.20*O100+0.15*P100+0.08*(6-Q100)+0.07*(6-R100),2)</x:f>
        <x:v>3.66</x:v>
      </x:c>
      <x:c r="T100" s="14" t="str">
        <x:v>低</x:v>
      </x:c>
      <x:c r="U100" s="25"/>
      <x:c r="V100" s="25"/>
      <x:c r="W100" s="25"/>
      <x:c r="X100" s="25"/>
      <x:c r="Y100" s="25"/>
      <x:c r="Z100" s="25"/>
    </x:row>
    <x:row r="101">
      <x:c r="A101" s="14" t="str">
        <x:v>PLI-100</x:v>
      </x:c>
      <x:c r="B101" s="14" t="str">
        <x:v>07 Welfare</x:v>
      </x:c>
      <x:c r="C101" s="14" t="str">
        <x:v>Enrichment</x:v>
      </x:c>
      <x:c r="D101" s="14" t="str">
        <x:v>丰富化活动库</x:v>
      </x:c>
      <x:c r="E101" s="14" t="str">
        <x:v>按嗅闻、觅食、认知、运动、社会互动等类型管理活动。</x:v>
      </x:c>
      <x:c r="F101" s="14" t="str">
        <x:v>宠主</x:v>
      </x:c>
      <x:c r="G101" s="14" t="str">
        <x:v>无/规则</x:v>
      </x:c>
      <x:c r="H101" s="14" t="str">
        <x:v>否</x:v>
      </x:c>
      <x:c r="I101" s="14" t="str">
        <x:v>EnrichmentActivityLogged</x:v>
      </x:c>
      <x:c r="J101" s="14" t="str"/>
      <x:c r="K101" s="14" t="str">
        <x:v>v0.2</x:v>
      </x:c>
      <x:c r="L101" s="14" t="str">
        <x:v>P1</x:v>
      </x:c>
      <x:c r="M101" s="14" t="n">
        <x:v>3</x:v>
      </x:c>
      <x:c r="N101" s="14" t="n">
        <x:v>4</x:v>
      </x:c>
      <x:c r="O101" s="14" t="n">
        <x:v>4</x:v>
      </x:c>
      <x:c r="P101" s="14" t="n">
        <x:v>3</x:v>
      </x:c>
      <x:c r="Q101" s="14" t="n">
        <x:v>2</x:v>
      </x:c>
      <x:c r="R101" s="14" t="n">
        <x:v>1</x:v>
      </x:c>
      <x:c r="S101" s="14" t="n">
        <x:f>ROUND(0.22*M101+0.28*N101+0.20*O101+0.15*P101+0.08*(6-Q101)+0.07*(6-R101),2)</x:f>
        <x:v>3.7</x:v>
      </x:c>
      <x:c r="T101" s="14" t="str">
        <x:v>低</x:v>
      </x:c>
      <x:c r="U101" s="25"/>
      <x:c r="V101" s="25"/>
      <x:c r="W101" s="25"/>
      <x:c r="X101" s="25"/>
      <x:c r="Y101" s="25"/>
      <x:c r="Z101" s="25"/>
    </x:row>
    <x:row r="102">
      <x:c r="A102" s="14" t="str">
        <x:v>PLI-101</x:v>
      </x:c>
      <x:c r="B102" s="14" t="str">
        <x:v>07 Welfare</x:v>
      </x:c>
      <x:c r="C102" s="14" t="str">
        <x:v>Enrichment</x:v>
      </x:c>
      <x:c r="D102" s="14" t="str">
        <x:v>个性化丰富化计划</x:v>
      </x:c>
      <x:c r="E102" s="14" t="str">
        <x:v>基于偏好、活动、健康限制和近期完成情况生成轻量计划。</x:v>
      </x:c>
      <x:c r="F102" s="14" t="str">
        <x:v>宠主</x:v>
      </x:c>
      <x:c r="G102" s="14" t="str">
        <x:v>推荐</x:v>
      </x:c>
      <x:c r="H102" s="14" t="str">
        <x:v>是</x:v>
      </x:c>
      <x:c r="I102" s="14" t="str">
        <x:v>EnrichmentPlanCreated</x:v>
      </x:c>
      <x:c r="J102" s="14" t="str"/>
      <x:c r="K102" s="14" t="str">
        <x:v>v1.0</x:v>
      </x:c>
      <x:c r="L102" s="14" t="str">
        <x:v>P2</x:v>
      </x:c>
      <x:c r="M102" s="14" t="n">
        <x:v>3</x:v>
      </x:c>
      <x:c r="N102" s="14" t="n">
        <x:v>4</x:v>
      </x:c>
      <x:c r="O102" s="14" t="n">
        <x:v>5</x:v>
      </x:c>
      <x:c r="P102" s="14" t="n">
        <x:v>3</x:v>
      </x:c>
      <x:c r="Q102" s="14" t="n">
        <x:v>4</x:v>
      </x:c>
      <x:c r="R102" s="14" t="n">
        <x:v>2</x:v>
      </x:c>
      <x:c r="S102" s="14" t="n">
        <x:f>ROUND(0.22*M102+0.28*N102+0.20*O102+0.15*P102+0.08*(6-Q102)+0.07*(6-R102),2)</x:f>
        <x:v>3.67</x:v>
      </x:c>
      <x:c r="T102" s="14" t="str">
        <x:v>低</x:v>
      </x:c>
      <x:c r="U102" s="25"/>
      <x:c r="V102" s="25"/>
      <x:c r="W102" s="25"/>
      <x:c r="X102" s="25"/>
      <x:c r="Y102" s="25"/>
      <x:c r="Z102" s="25"/>
    </x:row>
    <x:row r="103">
      <x:c r="A103" s="14" t="str">
        <x:v>PLI-102</x:v>
      </x:c>
      <x:c r="B103" s="14" t="str">
        <x:v>07 Welfare</x:v>
      </x:c>
      <x:c r="C103" s="14" t="str">
        <x:v>Agency</x:v>
      </x:c>
      <x:c r="D103" s="14" t="str">
        <x:v>选择与退出记录</x:v>
      </x:c>
      <x:c r="E103" s="14" t="str">
        <x:v>记录宠物能否自主选择休息、互动、退出刺激等代理性证据。</x:v>
      </x:c>
      <x:c r="F103" s="14" t="str">
        <x:v>宠主</x:v>
      </x:c>
      <x:c r="G103" s="14" t="str">
        <x:v>无/规则</x:v>
      </x:c>
      <x:c r="H103" s="14" t="str">
        <x:v>否</x:v>
      </x:c>
      <x:c r="I103" s="14" t="str">
        <x:v>AgencyObservation</x:v>
      </x:c>
      <x:c r="J103" s="14" t="str"/>
      <x:c r="K103" s="14" t="str">
        <x:v>v1.0</x:v>
      </x:c>
      <x:c r="L103" s="14" t="str">
        <x:v>P2</x:v>
      </x:c>
      <x:c r="M103" s="14" t="n">
        <x:v>2</x:v>
      </x:c>
      <x:c r="N103" s="14" t="n">
        <x:v>4</x:v>
      </x:c>
      <x:c r="O103" s="14" t="n">
        <x:v>4</x:v>
      </x:c>
      <x:c r="P103" s="14" t="n">
        <x:v>2</x:v>
      </x:c>
      <x:c r="Q103" s="14" t="n">
        <x:v>3</x:v>
      </x:c>
      <x:c r="R103" s="14" t="n">
        <x:v>1</x:v>
      </x:c>
      <x:c r="S103" s="14" t="n">
        <x:f>ROUND(0.22*M103+0.28*N103+0.20*O103+0.15*P103+0.08*(6-Q103)+0.07*(6-R103),2)</x:f>
        <x:v>3.25</x:v>
      </x:c>
      <x:c r="T103" s="14" t="str">
        <x:v>低</x:v>
      </x:c>
      <x:c r="U103" s="25"/>
      <x:c r="V103" s="25"/>
      <x:c r="W103" s="25"/>
      <x:c r="X103" s="25"/>
      <x:c r="Y103" s="25"/>
      <x:c r="Z103" s="25"/>
    </x:row>
    <x:row r="104">
      <x:c r="A104" s="14" t="str">
        <x:v>PLI-103</x:v>
      </x:c>
      <x:c r="B104" s="14" t="str">
        <x:v>07 Welfare</x:v>
      </x:c>
      <x:c r="C104" s="14" t="str">
        <x:v>Environment</x:v>
      </x:c>
      <x:c r="D104" s="14" t="str">
        <x:v>环境负荷记录</x:v>
      </x:c>
      <x:c r="E104" s="14" t="str">
        <x:v>记录噪声、温湿度、拥挤、独处时长、休息资源等环境因素。</x:v>
      </x:c>
      <x:c r="F104" s="14" t="str">
        <x:v>宠主</x:v>
      </x:c>
      <x:c r="G104" s="14" t="str">
        <x:v>无/规则</x:v>
      </x:c>
      <x:c r="H104" s="14" t="str">
        <x:v>否</x:v>
      </x:c>
      <x:c r="I104" s="14" t="str">
        <x:v>EnvironmentObservation</x:v>
      </x:c>
      <x:c r="J104" s="14" t="str"/>
      <x:c r="K104" s="14" t="str">
        <x:v>v1.0</x:v>
      </x:c>
      <x:c r="L104" s="14" t="str">
        <x:v>P2</x:v>
      </x:c>
      <x:c r="M104" s="14" t="n">
        <x:v>2</x:v>
      </x:c>
      <x:c r="N104" s="14" t="n">
        <x:v>4</x:v>
      </x:c>
      <x:c r="O104" s="14" t="n">
        <x:v>5</x:v>
      </x:c>
      <x:c r="P104" s="14" t="n">
        <x:v>2</x:v>
      </x:c>
      <x:c r="Q104" s="14" t="n">
        <x:v>3</x:v>
      </x:c>
      <x:c r="R104" s="14" t="n">
        <x:v>2</x:v>
      </x:c>
      <x:c r="S104" s="14" t="n">
        <x:f>ROUND(0.22*M104+0.28*N104+0.20*O104+0.15*P104+0.08*(6-Q104)+0.07*(6-R104),2)</x:f>
        <x:v>3.38</x:v>
      </x:c>
      <x:c r="T104" s="14" t="str">
        <x:v>低</x:v>
      </x:c>
      <x:c r="U104" s="25"/>
      <x:c r="V104" s="25"/>
      <x:c r="W104" s="25"/>
      <x:c r="X104" s="25"/>
      <x:c r="Y104" s="25"/>
      <x:c r="Z104" s="25"/>
    </x:row>
    <x:row r="105">
      <x:c r="A105" s="14" t="str">
        <x:v>PLI-104</x:v>
      </x:c>
      <x:c r="B105" s="14" t="str">
        <x:v>07 Welfare</x:v>
      </x:c>
      <x:c r="C105" s="14" t="str">
        <x:v>Recovery</x:v>
      </x:c>
      <x:c r="D105" s="14" t="str">
        <x:v>压力恢复时间</x:v>
      </x:c>
      <x:c r="E105" s="14" t="str">
        <x:v>记录受刺激后回到正常行为的时间，作为个体化福利指标之一。</x:v>
      </x:c>
      <x:c r="F105" s="14" t="str">
        <x:v>宠主</x:v>
      </x:c>
      <x:c r="G105" s="14" t="str">
        <x:v>趋势分析</x:v>
      </x:c>
      <x:c r="H105" s="14" t="str">
        <x:v>是</x:v>
      </x:c>
      <x:c r="I105" s="14" t="str">
        <x:v>RecoveryTimeObservation</x:v>
      </x:c>
      <x:c r="J105" s="14" t="str"/>
      <x:c r="K105" s="14" t="str">
        <x:v>v1.0</x:v>
      </x:c>
      <x:c r="L105" s="14" t="str">
        <x:v>P2</x:v>
      </x:c>
      <x:c r="M105" s="14" t="n">
        <x:v>2</x:v>
      </x:c>
      <x:c r="N105" s="14" t="n">
        <x:v>4</x:v>
      </x:c>
      <x:c r="O105" s="14" t="n">
        <x:v>5</x:v>
      </x:c>
      <x:c r="P105" s="14" t="n">
        <x:v>2</x:v>
      </x:c>
      <x:c r="Q105" s="14" t="n">
        <x:v>4</x:v>
      </x:c>
      <x:c r="R105" s="14" t="n">
        <x:v>2</x:v>
      </x:c>
      <x:c r="S105" s="14" t="n">
        <x:f>ROUND(0.22*M105+0.28*N105+0.20*O105+0.15*P105+0.08*(6-Q105)+0.07*(6-R105),2)</x:f>
        <x:v>3.3</x:v>
      </x:c>
      <x:c r="T105" s="14" t="str">
        <x:v>低</x:v>
      </x:c>
      <x:c r="U105" s="25"/>
      <x:c r="V105" s="25"/>
      <x:c r="W105" s="25"/>
      <x:c r="X105" s="25"/>
      <x:c r="Y105" s="25"/>
      <x:c r="Z105" s="25"/>
    </x:row>
    <x:row r="106">
      <x:c r="A106" s="14" t="str">
        <x:v>PLI-105</x:v>
      </x:c>
      <x:c r="B106" s="14" t="str">
        <x:v>07 Welfare</x:v>
      </x:c>
      <x:c r="C106" s="14" t="str">
        <x:v>Boredom</x:v>
      </x:c>
      <x:c r="D106" s="14" t="str">
        <x:v>低刺激风险提示</x:v>
      </x:c>
      <x:c r="E106" s="14" t="str">
        <x:v>长期活动/玩耍/探索不足时提示丰富化不足，而非诊断心理疾病。</x:v>
      </x:c>
      <x:c r="F106" s="14" t="str">
        <x:v>宠主</x:v>
      </x:c>
      <x:c r="G106" s="14" t="str">
        <x:v>规则/基线</x:v>
      </x:c>
      <x:c r="H106" s="14" t="str">
        <x:v>规则为主</x:v>
      </x:c>
      <x:c r="I106" s="14" t="str">
        <x:v>WelfareRiskSignal</x:v>
      </x:c>
      <x:c r="J106" s="14" t="str"/>
      <x:c r="K106" s="14" t="str">
        <x:v>v1.0</x:v>
      </x:c>
      <x:c r="L106" s="14" t="str">
        <x:v>P2</x:v>
      </x:c>
      <x:c r="M106" s="14" t="n">
        <x:v>3</x:v>
      </x:c>
      <x:c r="N106" s="14" t="n">
        <x:v>4</x:v>
      </x:c>
      <x:c r="O106" s="14" t="n">
        <x:v>4</x:v>
      </x:c>
      <x:c r="P106" s="14" t="n">
        <x:v>2</x:v>
      </x:c>
      <x:c r="Q106" s="14" t="n">
        <x:v>4</x:v>
      </x:c>
      <x:c r="R106" s="14" t="n">
        <x:v>3</x:v>
      </x:c>
      <x:c r="S106" s="14" t="n">
        <x:f>ROUND(0.22*M106+0.28*N106+0.20*O106+0.15*P106+0.08*(6-Q106)+0.07*(6-R106),2)</x:f>
        <x:v>3.25</x:v>
      </x:c>
      <x:c r="T106" s="14" t="str">
        <x:v>低</x:v>
      </x:c>
      <x:c r="U106" s="25"/>
      <x:c r="V106" s="25"/>
      <x:c r="W106" s="25"/>
      <x:c r="X106" s="25"/>
      <x:c r="Y106" s="25"/>
      <x:c r="Z106" s="25"/>
    </x:row>
    <x:row r="107">
      <x:c r="A107" s="14" t="str">
        <x:v>PLI-106</x:v>
      </x:c>
      <x:c r="B107" s="14" t="str">
        <x:v>07 Welfare</x:v>
      </x:c>
      <x:c r="C107" s="14" t="str">
        <x:v>Senior QoL</x:v>
      </x:c>
      <x:c r="D107" s="14" t="str">
        <x:v>老年生活质量问卷</x:v>
      </x:c>
      <x:c r="E107" s="14" t="str">
        <x:v>为慢病/老龄宠物提供可重复的生活质量评估并记录变化。</x:v>
      </x:c>
      <x:c r="F107" s="14" t="str">
        <x:v>宠主</x:v>
      </x:c>
      <x:c r="G107" s="14" t="str">
        <x:v>无/规则</x:v>
      </x:c>
      <x:c r="H107" s="14" t="str">
        <x:v>否</x:v>
      </x:c>
      <x:c r="I107" s="14" t="str">
        <x:v>QualityOfLifeAssessment</x:v>
      </x:c>
      <x:c r="J107" s="14" t="str"/>
      <x:c r="K107" s="14" t="str">
        <x:v>v1.0</x:v>
      </x:c>
      <x:c r="L107" s="14" t="str">
        <x:v>P2</x:v>
      </x:c>
      <x:c r="M107" s="14" t="n">
        <x:v>2</x:v>
      </x:c>
      <x:c r="N107" s="14" t="n">
        <x:v>5</x:v>
      </x:c>
      <x:c r="O107" s="14" t="n">
        <x:v>5</x:v>
      </x:c>
      <x:c r="P107" s="14" t="n">
        <x:v>3</x:v>
      </x:c>
      <x:c r="Q107" s="14" t="n">
        <x:v>3</x:v>
      </x:c>
      <x:c r="R107" s="14" t="n">
        <x:v>4</x:v>
      </x:c>
      <x:c r="S107" s="14" t="n">
        <x:f>ROUND(0.22*M107+0.28*N107+0.20*O107+0.15*P107+0.08*(6-Q107)+0.07*(6-R107),2)</x:f>
        <x:v>3.67</x:v>
      </x:c>
      <x:c r="T107" s="14" t="str">
        <x:v>中</x:v>
      </x:c>
      <x:c r="U107" s="25"/>
      <x:c r="V107" s="25"/>
      <x:c r="W107" s="25"/>
      <x:c r="X107" s="25"/>
      <x:c r="Y107" s="25"/>
      <x:c r="Z107" s="25"/>
    </x:row>
    <x:row r="108">
      <x:c r="A108" s="14" t="str">
        <x:v>PLI-107</x:v>
      </x:c>
      <x:c r="B108" s="14" t="str">
        <x:v>07 Welfare</x:v>
      </x:c>
      <x:c r="C108" s="14" t="str">
        <x:v>End-of-life</x:v>
      </x:c>
      <x:c r="D108" s="14" t="str">
        <x:v>临终照护趋势视图</x:v>
      </x:c>
      <x:c r="E108" s="14" t="str">
        <x:v>仅在主人选择时汇总食欲、移动、疼痛、互动和舒适度供兽医沟通。</x:v>
      </x:c>
      <x:c r="F108" s="14" t="str">
        <x:v>宠主</x:v>
      </x:c>
      <x:c r="G108" s="14" t="str">
        <x:v>摘要</x:v>
      </x:c>
      <x:c r="H108" s="14" t="str">
        <x:v>是</x:v>
      </x:c>
      <x:c r="I108" s="14" t="str">
        <x:v>PalliativeObservation</x:v>
      </x:c>
      <x:c r="J108" s="14" t="str"/>
      <x:c r="K108" s="14" t="str">
        <x:v>Future</x:v>
      </x:c>
      <x:c r="L108" s="14" t="str">
        <x:v>Future</x:v>
      </x:c>
      <x:c r="M108" s="14" t="n">
        <x:v>1</x:v>
      </x:c>
      <x:c r="N108" s="14" t="n">
        <x:v>5</x:v>
      </x:c>
      <x:c r="O108" s="14" t="n">
        <x:v>5</x:v>
      </x:c>
      <x:c r="P108" s="14" t="n">
        <x:v>2</x:v>
      </x:c>
      <x:c r="Q108" s="14" t="n">
        <x:v>4</x:v>
      </x:c>
      <x:c r="R108" s="14" t="n">
        <x:v>5</x:v>
      </x:c>
      <x:c r="S108" s="14" t="n">
        <x:f>ROUND(0.22*M108+0.28*N108+0.20*O108+0.15*P108+0.08*(6-Q108)+0.07*(6-R108),2)</x:f>
        <x:v>3.15</x:v>
      </x:c>
      <x:c r="T108" s="14" t="str">
        <x:v>高</x:v>
      </x:c>
      <x:c r="U108" s="25"/>
      <x:c r="V108" s="25"/>
      <x:c r="W108" s="25"/>
      <x:c r="X108" s="25"/>
      <x:c r="Y108" s="25"/>
      <x:c r="Z108" s="25"/>
    </x:row>
    <x:row r="109">
      <x:c r="A109" s="14" t="str">
        <x:v>PLI-108</x:v>
      </x:c>
      <x:c r="B109" s="14" t="str">
        <x:v>07 Welfare</x:v>
      </x:c>
      <x:c r="C109" s="14" t="str">
        <x:v>Explainability</x:v>
      </x:c>
      <x:c r="D109" s="14" t="str">
        <x:v>福利证据解释</x:v>
      </x:c>
      <x:c r="E109" s="14" t="str">
        <x:v>任何福利趋势均可查看主要证据、数据来源和不确定性。</x:v>
      </x:c>
      <x:c r="F109" s="14" t="str">
        <x:v>宠主</x:v>
      </x:c>
      <x:c r="G109" s="14" t="str">
        <x:v>解释</x:v>
      </x:c>
      <x:c r="H109" s="14" t="str">
        <x:v>是</x:v>
      </x:c>
      <x:c r="I109" s="14" t="str">
        <x:v>ExplanationViewed</x:v>
      </x:c>
      <x:c r="J109" s="14" t="str"/>
      <x:c r="K109" s="14" t="str">
        <x:v>v1.0</x:v>
      </x:c>
      <x:c r="L109" s="14" t="str">
        <x:v>P2</x:v>
      </x:c>
      <x:c r="M109" s="14" t="n">
        <x:v>2</x:v>
      </x:c>
      <x:c r="N109" s="14" t="n">
        <x:v>5</x:v>
      </x:c>
      <x:c r="O109" s="14" t="n">
        <x:v>4</x:v>
      </x:c>
      <x:c r="P109" s="14" t="n">
        <x:v>2</x:v>
      </x:c>
      <x:c r="Q109" s="14" t="n">
        <x:v>3</x:v>
      </x:c>
      <x:c r="R109" s="14" t="n">
        <x:v>2</x:v>
      </x:c>
      <x:c r="S109" s="14" t="n">
        <x:f>ROUND(0.22*M109+0.28*N109+0.20*O109+0.15*P109+0.08*(6-Q109)+0.07*(6-R109),2)</x:f>
        <x:v>3.46</x:v>
      </x:c>
      <x:c r="T109" s="14" t="str">
        <x:v>低</x:v>
      </x:c>
      <x:c r="U109" s="25"/>
      <x:c r="V109" s="25"/>
      <x:c r="W109" s="25"/>
      <x:c r="X109" s="25"/>
      <x:c r="Y109" s="25"/>
      <x:c r="Z109" s="25"/>
    </x:row>
    <x:row r="110">
      <x:c r="A110" s="14" t="str">
        <x:v>PLI-109</x:v>
      </x:c>
      <x:c r="B110" s="14" t="str">
        <x:v>07 Welfare</x:v>
      </x:c>
      <x:c r="C110" s="14" t="str">
        <x:v>Household</x:v>
      </x:c>
      <x:c r="D110" s="14" t="str">
        <x:v>多宠资源冲突</x:v>
      </x:c>
      <x:c r="E110" s="14" t="str">
        <x:v>识别食盆、猫砂盆、休息点等资源争夺的主人报告和事件模式。</x:v>
      </x:c>
      <x:c r="F110" s="14" t="str">
        <x:v>宠主</x:v>
      </x:c>
      <x:c r="G110" s="14" t="str">
        <x:v>关联分析</x:v>
      </x:c>
      <x:c r="H110" s="14" t="str">
        <x:v>是</x:v>
      </x:c>
      <x:c r="I110" s="14" t="str">
        <x:v>ResourceConflictObserved</x:v>
      </x:c>
      <x:c r="J110" s="14" t="str"/>
      <x:c r="K110" s="14" t="str">
        <x:v>Future</x:v>
      </x:c>
      <x:c r="L110" s="14" t="str">
        <x:v>Future</x:v>
      </x:c>
      <x:c r="M110" s="14" t="n">
        <x:v>2</x:v>
      </x:c>
      <x:c r="N110" s="14" t="n">
        <x:v>4</x:v>
      </x:c>
      <x:c r="O110" s="14" t="n">
        <x:v>5</x:v>
      </x:c>
      <x:c r="P110" s="14" t="n">
        <x:v>2</x:v>
      </x:c>
      <x:c r="Q110" s="14" t="n">
        <x:v>5</x:v>
      </x:c>
      <x:c r="R110" s="14" t="n">
        <x:v>3</x:v>
      </x:c>
      <x:c r="S110" s="14" t="n">
        <x:f>ROUND(0.22*M110+0.28*N110+0.20*O110+0.15*P110+0.08*(6-Q110)+0.07*(6-R110),2)</x:f>
        <x:v>3.15</x:v>
      </x:c>
      <x:c r="T110" s="14" t="str">
        <x:v>低</x:v>
      </x:c>
      <x:c r="U110" s="25"/>
      <x:c r="V110" s="25"/>
      <x:c r="W110" s="25"/>
      <x:c r="X110" s="25"/>
      <x:c r="Y110" s="25"/>
      <x:c r="Z110" s="25"/>
    </x:row>
    <x:row r="111">
      <x:c r="A111" s="14" t="str">
        <x:v>PLI-110</x:v>
      </x:c>
      <x:c r="B111" s="14" t="str">
        <x:v>07 Welfare</x:v>
      </x:c>
      <x:c r="C111" s="14" t="str">
        <x:v>Professional</x:v>
      </x:c>
      <x:c r="D111" s="14" t="str">
        <x:v>福利咨询摘要</x:v>
      </x:c>
      <x:c r="E111" s="14" t="str">
        <x:v>向兽医/行为专家提供长期福利证据而非单次主观描述。</x:v>
      </x:c>
      <x:c r="F111" s="14" t="str">
        <x:v>宠主</x:v>
      </x:c>
      <x:c r="G111" s="14" t="str">
        <x:v>摘要</x:v>
      </x:c>
      <x:c r="H111" s="14" t="str">
        <x:v>是</x:v>
      </x:c>
      <x:c r="I111" s="14" t="str">
        <x:v>WelfareBriefGenerated</x:v>
      </x:c>
      <x:c r="J111" s="14" t="str"/>
      <x:c r="K111" s="14" t="str">
        <x:v>Future</x:v>
      </x:c>
      <x:c r="L111" s="14" t="str">
        <x:v>Future</x:v>
      </x:c>
      <x:c r="M111" s="14" t="n">
        <x:v>1</x:v>
      </x:c>
      <x:c r="N111" s="14" t="n">
        <x:v>4</x:v>
      </x:c>
      <x:c r="O111" s="14" t="n">
        <x:v>5</x:v>
      </x:c>
      <x:c r="P111" s="14" t="n">
        <x:v>3</x:v>
      </x:c>
      <x:c r="Q111" s="14" t="n">
        <x:v>3</x:v>
      </x:c>
      <x:c r="R111" s="14" t="n">
        <x:v>2</x:v>
      </x:c>
      <x:c r="S111" s="14" t="n">
        <x:f>ROUND(0.22*M111+0.28*N111+0.20*O111+0.15*P111+0.08*(6-Q111)+0.07*(6-R111),2)</x:f>
        <x:v>3.31</x:v>
      </x:c>
      <x:c r="T111" s="14" t="str">
        <x:v>低</x:v>
      </x:c>
      <x:c r="U111" s="25"/>
      <x:c r="V111" s="25"/>
      <x:c r="W111" s="25"/>
      <x:c r="X111" s="25"/>
      <x:c r="Y111" s="25"/>
      <x:c r="Z111" s="25"/>
    </x:row>
    <x:row r="112">
      <x:c r="A112" s="14" t="str">
        <x:v>PLI-111</x:v>
      </x:c>
      <x:c r="B112" s="14" t="str">
        <x:v>08 Social &amp; Pet Friends</x:v>
      </x:c>
      <x:c r="C112" s="14" t="str">
        <x:v>Profile</x:v>
      </x:c>
      <x:c r="D112" s="14" t="str">
        <x:v>社交偏好档案</x:v>
      </x:c>
      <x:c r="E112" s="14" t="str">
        <x:v>记录对宠物/人类的接近、回避、玩耍风格、资源敏感等可观察偏好。</x:v>
      </x:c>
      <x:c r="F112" s="14" t="str">
        <x:v>宠主</x:v>
      </x:c>
      <x:c r="G112" s="14" t="str">
        <x:v>无/规则</x:v>
      </x:c>
      <x:c r="H112" s="14" t="str">
        <x:v>否</x:v>
      </x:c>
      <x:c r="I112" s="14" t="str">
        <x:v>SocialProfileUpdated</x:v>
      </x:c>
      <x:c r="J112" s="14" t="str"/>
      <x:c r="K112" s="14" t="str">
        <x:v>v0.2</x:v>
      </x:c>
      <x:c r="L112" s="14" t="str">
        <x:v>P1</x:v>
      </x:c>
      <x:c r="M112" s="14" t="n">
        <x:v>2</x:v>
      </x:c>
      <x:c r="N112" s="14" t="n">
        <x:v>4</x:v>
      </x:c>
      <x:c r="O112" s="14" t="n">
        <x:v>5</x:v>
      </x:c>
      <x:c r="P112" s="14" t="n">
        <x:v>3</x:v>
      </x:c>
      <x:c r="Q112" s="14" t="n">
        <x:v>3</x:v>
      </x:c>
      <x:c r="R112" s="14" t="n">
        <x:v>2</x:v>
      </x:c>
      <x:c r="S112" s="14" t="n">
        <x:f>ROUND(0.22*M112+0.28*N112+0.20*O112+0.15*P112+0.08*(6-Q112)+0.07*(6-R112),2)</x:f>
        <x:v>3.53</x:v>
      </x:c>
      <x:c r="T112" s="14" t="str">
        <x:v>低</x:v>
      </x:c>
      <x:c r="U112" s="25"/>
      <x:c r="V112" s="25"/>
      <x:c r="W112" s="25"/>
      <x:c r="X112" s="25"/>
      <x:c r="Y112" s="25"/>
      <x:c r="Z112" s="25"/>
    </x:row>
    <x:row r="113">
      <x:c r="A113" s="14" t="str">
        <x:v>PLI-112</x:v>
      </x:c>
      <x:c r="B113" s="14" t="str">
        <x:v>08 Social &amp; Pet Friends</x:v>
      </x:c>
      <x:c r="C113" s="14" t="str">
        <x:v>Graph</x:v>
      </x:c>
      <x:c r="D113" s="14" t="str">
        <x:v>宠物好友关系</x:v>
      </x:c>
      <x:c r="E113" s="14" t="str">
        <x:v>建立熟悉、好友、同住、同窝等关系类型，不等同公开社交关注。</x:v>
      </x:c>
      <x:c r="F113" s="14" t="str">
        <x:v>宠主</x:v>
      </x:c>
      <x:c r="G113" s="14" t="str">
        <x:v>无/规则</x:v>
      </x:c>
      <x:c r="H113" s="14" t="str">
        <x:v>否</x:v>
      </x:c>
      <x:c r="I113" s="14" t="str">
        <x:v>PetRelationshipCreated</x:v>
      </x:c>
      <x:c r="J113" s="14" t="str"/>
      <x:c r="K113" s="14" t="str">
        <x:v>v0.2</x:v>
      </x:c>
      <x:c r="L113" s="14" t="str">
        <x:v>P1</x:v>
      </x:c>
      <x:c r="M113" s="14" t="n">
        <x:v>2</x:v>
      </x:c>
      <x:c r="N113" s="14" t="n">
        <x:v>4</x:v>
      </x:c>
      <x:c r="O113" s="14" t="n">
        <x:v>5</x:v>
      </x:c>
      <x:c r="P113" s="14" t="n">
        <x:v>3</x:v>
      </x:c>
      <x:c r="Q113" s="14" t="n">
        <x:v>2</x:v>
      </x:c>
      <x:c r="R113" s="14" t="n">
        <x:v>1</x:v>
      </x:c>
      <x:c r="S113" s="14" t="n">
        <x:f>ROUND(0.22*M113+0.28*N113+0.20*O113+0.15*P113+0.08*(6-Q113)+0.07*(6-R113),2)</x:f>
        <x:v>3.68</x:v>
      </x:c>
      <x:c r="T113" s="14" t="str">
        <x:v>低</x:v>
      </x:c>
      <x:c r="U113" s="25"/>
      <x:c r="V113" s="25"/>
      <x:c r="W113" s="25"/>
      <x:c r="X113" s="25"/>
      <x:c r="Y113" s="25"/>
      <x:c r="Z113" s="25"/>
    </x:row>
    <x:row r="114">
      <x:c r="A114" s="14" t="str">
        <x:v>PLI-113</x:v>
      </x:c>
      <x:c r="B114" s="14" t="str">
        <x:v>08 Social &amp; Pet Friends</x:v>
      </x:c>
      <x:c r="C114" s="14" t="str">
        <x:v>Interaction</x:v>
      </x:c>
      <x:c r="D114" s="14" t="str">
        <x:v>互动事件记录</x:v>
      </x:c>
      <x:c r="E114" s="14" t="str">
        <x:v>记录与某宠物/人的见面、时长、主动性、冲突和结束后行为。</x:v>
      </x:c>
      <x:c r="F114" s="14" t="str">
        <x:v>宠主</x:v>
      </x:c>
      <x:c r="G114" s="14" t="str">
        <x:v>无/规则</x:v>
      </x:c>
      <x:c r="H114" s="14" t="str">
        <x:v>否</x:v>
      </x:c>
      <x:c r="I114" s="14" t="str">
        <x:v>SocialInteraction</x:v>
      </x:c>
      <x:c r="J114" s="14" t="str"/>
      <x:c r="K114" s="14" t="str">
        <x:v>v0.2</x:v>
      </x:c>
      <x:c r="L114" s="14" t="str">
        <x:v>P1</x:v>
      </x:c>
      <x:c r="M114" s="14" t="n">
        <x:v>2</x:v>
      </x:c>
      <x:c r="N114" s="14" t="n">
        <x:v>4</x:v>
      </x:c>
      <x:c r="O114" s="14" t="n">
        <x:v>5</x:v>
      </x:c>
      <x:c r="P114" s="14" t="n">
        <x:v>3</x:v>
      </x:c>
      <x:c r="Q114" s="14" t="n">
        <x:v>2</x:v>
      </x:c>
      <x:c r="R114" s="14" t="n">
        <x:v>1</x:v>
      </x:c>
      <x:c r="S114" s="14" t="n">
        <x:f>ROUND(0.22*M114+0.28*N114+0.20*O114+0.15*P114+0.08*(6-Q114)+0.07*(6-R114),2)</x:f>
        <x:v>3.68</x:v>
      </x:c>
      <x:c r="T114" s="14" t="str">
        <x:v>低</x:v>
      </x:c>
      <x:c r="U114" s="25"/>
      <x:c r="V114" s="25"/>
      <x:c r="W114" s="25"/>
      <x:c r="X114" s="25"/>
      <x:c r="Y114" s="25"/>
      <x:c r="Z114" s="25"/>
    </x:row>
    <x:row r="115">
      <x:c r="A115" s="14" t="str">
        <x:v>PLI-114</x:v>
      </x:c>
      <x:c r="B115" s="14" t="str">
        <x:v>08 Social &amp; Pet Friends</x:v>
      </x:c>
      <x:c r="C115" s="14" t="str">
        <x:v>Feedback</x:v>
      </x:c>
      <x:c r="D115" s="14" t="str">
        <x:v>互动后双向反馈</x:v>
      </x:c>
      <x:c r="E115" s="14" t="str">
        <x:v>双方主人分别记录互动体验，避免单边叙事。</x:v>
      </x:c>
      <x:c r="F115" s="14" t="str">
        <x:v>宠主</x:v>
      </x:c>
      <x:c r="G115" s="14" t="str">
        <x:v>无/规则</x:v>
      </x:c>
      <x:c r="H115" s="14" t="str">
        <x:v>否</x:v>
      </x:c>
      <x:c r="I115" s="14" t="str">
        <x:v>InteractionFeedback</x:v>
      </x:c>
      <x:c r="J115" s="14" t="str"/>
      <x:c r="K115" s="14" t="str">
        <x:v>v1.0</x:v>
      </x:c>
      <x:c r="L115" s="14" t="str">
        <x:v>P2</x:v>
      </x:c>
      <x:c r="M115" s="14" t="n">
        <x:v>2</x:v>
      </x:c>
      <x:c r="N115" s="14" t="n">
        <x:v>4</x:v>
      </x:c>
      <x:c r="O115" s="14" t="n">
        <x:v>5</x:v>
      </x:c>
      <x:c r="P115" s="14" t="n">
        <x:v>3</x:v>
      </x:c>
      <x:c r="Q115" s="14" t="n">
        <x:v>3</x:v>
      </x:c>
      <x:c r="R115" s="14" t="n">
        <x:v>2</x:v>
      </x:c>
      <x:c r="S115" s="14" t="n">
        <x:f>ROUND(0.22*M115+0.28*N115+0.20*O115+0.15*P115+0.08*(6-Q115)+0.07*(6-R115),2)</x:f>
        <x:v>3.53</x:v>
      </x:c>
      <x:c r="T115" s="14" t="str">
        <x:v>低</x:v>
      </x:c>
      <x:c r="U115" s="25"/>
      <x:c r="V115" s="25"/>
      <x:c r="W115" s="25"/>
      <x:c r="X115" s="25"/>
      <x:c r="Y115" s="25"/>
      <x:c r="Z115" s="25"/>
    </x:row>
    <x:row r="116">
      <x:c r="A116" s="14" t="str">
        <x:v>PLI-115</x:v>
      </x:c>
      <x:c r="B116" s="14" t="str">
        <x:v>08 Social &amp; Pet Friends</x:v>
      </x:c>
      <x:c r="C116" s="14" t="str">
        <x:v>Learning</x:v>
      </x:c>
      <x:c r="D116" s="14" t="str">
        <x:v>经验型好友匹配</x:v>
      </x:c>
      <x:c r="E116" s="14" t="str">
        <x:v>先做安全筛选，再根据真实互动历史学习匹配，不输出伪科学确定概率。</x:v>
      </x:c>
      <x:c r="F116" s="14" t="str">
        <x:v>宠主</x:v>
      </x:c>
      <x:c r="G116" s="14" t="str">
        <x:v>推荐/排序</x:v>
      </x:c>
      <x:c r="H116" s="14" t="str">
        <x:v>是</x:v>
      </x:c>
      <x:c r="I116" s="14" t="str">
        <x:v>FriendRecommendation</x:v>
      </x:c>
      <x:c r="J116" s="14" t="str"/>
      <x:c r="K116" s="14" t="str">
        <x:v>v1.0</x:v>
      </x:c>
      <x:c r="L116" s="14" t="str">
        <x:v>P2</x:v>
      </x:c>
      <x:c r="M116" s="14" t="n">
        <x:v>2</x:v>
      </x:c>
      <x:c r="N116" s="14" t="n">
        <x:v>4</x:v>
      </x:c>
      <x:c r="O116" s="14" t="n">
        <x:v>5</x:v>
      </x:c>
      <x:c r="P116" s="14" t="n">
        <x:v>4</x:v>
      </x:c>
      <x:c r="Q116" s="14" t="n">
        <x:v>5</x:v>
      </x:c>
      <x:c r="R116" s="14" t="n">
        <x:v>4</x:v>
      </x:c>
      <x:c r="S116" s="14" t="n">
        <x:f>ROUND(0.22*M116+0.28*N116+0.20*O116+0.15*P116+0.08*(6-Q116)+0.07*(6-R116),2)</x:f>
        <x:v>3.38</x:v>
      </x:c>
      <x:c r="T116" s="14" t="str">
        <x:v>中</x:v>
      </x:c>
      <x:c r="U116" s="25"/>
      <x:c r="V116" s="25"/>
      <x:c r="W116" s="25"/>
      <x:c r="X116" s="25"/>
      <x:c r="Y116" s="25"/>
      <x:c r="Z116" s="25"/>
    </x:row>
    <x:row r="117">
      <x:c r="A117" s="14" t="str">
        <x:v>PLI-116</x:v>
      </x:c>
      <x:c r="B117" s="14" t="str">
        <x:v>08 Social &amp; Pet Friends</x:v>
      </x:c>
      <x:c r="C117" s="14" t="str">
        <x:v>Safety</x:v>
      </x:c>
      <x:c r="D117" s="14" t="str">
        <x:v>社交安全筛选</x:v>
      </x:c>
      <x:c r="E117" s="14" t="str">
        <x:v>疫苗/健康限制、攻击史、体型风险等仅作为安全筛选条件并允许主人控制披露。</x:v>
      </x:c>
      <x:c r="F117" s="14" t="str">
        <x:v>宠主</x:v>
      </x:c>
      <x:c r="G117" s="14" t="str">
        <x:v>规则</x:v>
      </x:c>
      <x:c r="H117" s="14" t="str">
        <x:v>规则为主</x:v>
      </x:c>
      <x:c r="I117" s="14" t="str">
        <x:v>SocialSafetyCheck</x:v>
      </x:c>
      <x:c r="J117" s="14" t="str"/>
      <x:c r="K117" s="14" t="str">
        <x:v>v1.0</x:v>
      </x:c>
      <x:c r="L117" s="14" t="str">
        <x:v>P2</x:v>
      </x:c>
      <x:c r="M117" s="14" t="n">
        <x:v>1</x:v>
      </x:c>
      <x:c r="N117" s="14" t="n">
        <x:v>5</x:v>
      </x:c>
      <x:c r="O117" s="14" t="n">
        <x:v>4</x:v>
      </x:c>
      <x:c r="P117" s="14" t="n">
        <x:v>3</x:v>
      </x:c>
      <x:c r="Q117" s="14" t="n">
        <x:v>4</x:v>
      </x:c>
      <x:c r="R117" s="14" t="n">
        <x:v>5</x:v>
      </x:c>
      <x:c r="S117" s="14" t="n">
        <x:f>ROUND(0.22*M117+0.28*N117+0.20*O117+0.15*P117+0.08*(6-Q117)+0.07*(6-R117),2)</x:f>
        <x:v>3.1</x:v>
      </x:c>
      <x:c r="T117" s="14" t="str">
        <x:v>高</x:v>
      </x:c>
      <x:c r="U117" s="25"/>
      <x:c r="V117" s="25"/>
      <x:c r="W117" s="25"/>
      <x:c r="X117" s="25"/>
      <x:c r="Y117" s="25"/>
      <x:c r="Z117" s="25"/>
    </x:row>
    <x:row r="118">
      <x:c r="A118" s="14" t="str">
        <x:v>PLI-117</x:v>
      </x:c>
      <x:c r="B118" s="14" t="str">
        <x:v>08 Social &amp; Pet Friends</x:v>
      </x:c>
      <x:c r="C118" s="14" t="str">
        <x:v>Baseline</x:v>
      </x:c>
      <x:c r="D118" s="14" t="str">
        <x:v>社交基线</x:v>
      </x:c>
      <x:c r="E118" s="14" t="str">
        <x:v>统计主动互动、回避、玩耍频率和固定关系变化。</x:v>
      </x:c>
      <x:c r="F118" s="14" t="str">
        <x:v>宠主</x:v>
      </x:c>
      <x:c r="G118" s="14" t="str">
        <x:v>趋势分析</x:v>
      </x:c>
      <x:c r="H118" s="14" t="str">
        <x:v>是</x:v>
      </x:c>
      <x:c r="I118" s="14" t="str">
        <x:v>SocialBaselineUpdated</x:v>
      </x:c>
      <x:c r="J118" s="14" t="str"/>
      <x:c r="K118" s="14" t="str">
        <x:v>v1.0</x:v>
      </x:c>
      <x:c r="L118" s="14" t="str">
        <x:v>P2</x:v>
      </x:c>
      <x:c r="M118" s="14" t="n">
        <x:v>2</x:v>
      </x:c>
      <x:c r="N118" s="14" t="n">
        <x:v>4</x:v>
      </x:c>
      <x:c r="O118" s="14" t="n">
        <x:v>5</x:v>
      </x:c>
      <x:c r="P118" s="14" t="n">
        <x:v>3</x:v>
      </x:c>
      <x:c r="Q118" s="14" t="n">
        <x:v>4</x:v>
      </x:c>
      <x:c r="R118" s="14" t="n">
        <x:v>2</x:v>
      </x:c>
      <x:c r="S118" s="14" t="n">
        <x:f>ROUND(0.22*M118+0.28*N118+0.20*O118+0.15*P118+0.08*(6-Q118)+0.07*(6-R118),2)</x:f>
        <x:v>3.45</x:v>
      </x:c>
      <x:c r="T118" s="14" t="str">
        <x:v>低</x:v>
      </x:c>
      <x:c r="U118" s="25"/>
      <x:c r="V118" s="25"/>
      <x:c r="W118" s="25"/>
      <x:c r="X118" s="25"/>
      <x:c r="Y118" s="25"/>
      <x:c r="Z118" s="25"/>
    </x:row>
    <x:row r="119">
      <x:c r="A119" s="14" t="str">
        <x:v>PLI-118</x:v>
      </x:c>
      <x:c r="B119" s="14" t="str">
        <x:v>08 Social &amp; Pet Friends</x:v>
      </x:c>
      <x:c r="C119" s="14" t="str">
        <x:v>Change</x:v>
      </x:c>
      <x:c r="D119" s="14" t="str">
        <x:v>社交异常变化提醒</x:v>
      </x:c>
      <x:c r="E119" s="14" t="str">
        <x:v>社交变化与活动/健康等多域共变时提示观察，不单独诊断。</x:v>
      </x:c>
      <x:c r="F119" s="14" t="str">
        <x:v>宠主</x:v>
      </x:c>
      <x:c r="G119" s="14" t="str">
        <x:v>多域异常检测</x:v>
      </x:c>
      <x:c r="H119" s="14" t="str">
        <x:v>是</x:v>
      </x:c>
      <x:c r="I119" s="14" t="str">
        <x:v>SocialChangeSignal</x:v>
      </x:c>
      <x:c r="J119" s="14" t="str"/>
      <x:c r="K119" s="14" t="str">
        <x:v>Future</x:v>
      </x:c>
      <x:c r="L119" s="14" t="str">
        <x:v>Future</x:v>
      </x:c>
      <x:c r="M119" s="14" t="n">
        <x:v>2</x:v>
      </x:c>
      <x:c r="N119" s="14" t="n">
        <x:v>4</x:v>
      </x:c>
      <x:c r="O119" s="14" t="n">
        <x:v>5</x:v>
      </x:c>
      <x:c r="P119" s="14" t="n">
        <x:v>3</x:v>
      </x:c>
      <x:c r="Q119" s="14" t="n">
        <x:v>5</x:v>
      </x:c>
      <x:c r="R119" s="14" t="n">
        <x:v>4</x:v>
      </x:c>
      <x:c r="S119" s="14" t="n">
        <x:f>ROUND(0.22*M119+0.28*N119+0.20*O119+0.15*P119+0.08*(6-Q119)+0.07*(6-R119),2)</x:f>
        <x:v>3.23</x:v>
      </x:c>
      <x:c r="T119" s="14" t="str">
        <x:v>中</x:v>
      </x:c>
      <x:c r="U119" s="25"/>
      <x:c r="V119" s="25"/>
      <x:c r="W119" s="25"/>
      <x:c r="X119" s="25"/>
      <x:c r="Y119" s="25"/>
      <x:c r="Z119" s="25"/>
    </x:row>
    <x:row r="120">
      <x:c r="A120" s="14" t="str">
        <x:v>PLI-119</x:v>
      </x:c>
      <x:c r="B120" s="14" t="str">
        <x:v>08 Social &amp; Pet Friends</x:v>
      </x:c>
      <x:c r="C120" s="14" t="str">
        <x:v>Human Graph</x:v>
      </x:c>
      <x:c r="D120" s="14" t="str">
        <x:v>熟悉人关系</x:v>
      </x:c>
      <x:c r="E120" s="14" t="str">
        <x:v>记录主人、家人、保姆、训练师等实际互动关系。</x:v>
      </x:c>
      <x:c r="F120" s="14" t="str">
        <x:v>宠主</x:v>
      </x:c>
      <x:c r="G120" s="14" t="str">
        <x:v>无/规则</x:v>
      </x:c>
      <x:c r="H120" s="14" t="str">
        <x:v>否</x:v>
      </x:c>
      <x:c r="I120" s="14" t="str">
        <x:v>HumanPetRelationshipUpdated</x:v>
      </x:c>
      <x:c r="J120" s="14" t="str"/>
      <x:c r="K120" s="14" t="str">
        <x:v>v1.0</x:v>
      </x:c>
      <x:c r="L120" s="14" t="str">
        <x:v>P2</x:v>
      </x:c>
      <x:c r="M120" s="14" t="n">
        <x:v>2</x:v>
      </x:c>
      <x:c r="N120" s="14" t="n">
        <x:v>4</x:v>
      </x:c>
      <x:c r="O120" s="14" t="n">
        <x:v>5</x:v>
      </x:c>
      <x:c r="P120" s="14" t="n">
        <x:v>2</x:v>
      </x:c>
      <x:c r="Q120" s="14" t="n">
        <x:v>3</x:v>
      </x:c>
      <x:c r="R120" s="14" t="n">
        <x:v>2</x:v>
      </x:c>
      <x:c r="S120" s="14" t="n">
        <x:f>ROUND(0.22*M120+0.28*N120+0.20*O120+0.15*P120+0.08*(6-Q120)+0.07*(6-R120),2)</x:f>
        <x:v>3.38</x:v>
      </x:c>
      <x:c r="T120" s="14" t="str">
        <x:v>低</x:v>
      </x:c>
      <x:c r="U120" s="25"/>
      <x:c r="V120" s="25"/>
      <x:c r="W120" s="25"/>
      <x:c r="X120" s="25"/>
      <x:c r="Y120" s="25"/>
      <x:c r="Z120" s="25"/>
    </x:row>
    <x:row r="121">
      <x:c r="A121" s="14" t="str">
        <x:v>PLI-120</x:v>
      </x:c>
      <x:c r="B121" s="14" t="str">
        <x:v>08 Social &amp; Pet Friends</x:v>
      </x:c>
      <x:c r="C121" s="14" t="str">
        <x:v>Groups</x:v>
      </x:c>
      <x:c r="D121" s="14" t="str">
        <x:v>健康/照护同类群组</x:v>
      </x:c>
      <x:c r="E121" s="14" t="str">
        <x:v>CKD猫、老年犬等可选支持群，明确经验分享不等于医疗建议。</x:v>
      </x:c>
      <x:c r="F121" s="14" t="str">
        <x:v>宠主</x:v>
      </x:c>
      <x:c r="G121" s="14" t="str">
        <x:v>无/规则</x:v>
      </x:c>
      <x:c r="H121" s="14" t="str">
        <x:v>否</x:v>
      </x:c>
      <x:c r="I121" s="14" t="str">
        <x:v>CohortJoined</x:v>
      </x:c>
      <x:c r="J121" s="14" t="str"/>
      <x:c r="K121" s="14" t="str">
        <x:v>Future</x:v>
      </x:c>
      <x:c r="L121" s="14" t="str">
        <x:v>Future</x:v>
      </x:c>
      <x:c r="M121" s="14" t="n">
        <x:v>2</x:v>
      </x:c>
      <x:c r="N121" s="14" t="n">
        <x:v>4</x:v>
      </x:c>
      <x:c r="O121" s="14" t="n">
        <x:v>3</x:v>
      </x:c>
      <x:c r="P121" s="14" t="n">
        <x:v>3</x:v>
      </x:c>
      <x:c r="Q121" s="14" t="n">
        <x:v>4</x:v>
      </x:c>
      <x:c r="R121" s="14" t="n">
        <x:v>4</x:v>
      </x:c>
      <x:c r="S121" s="14" t="n">
        <x:f>ROUND(0.22*M121+0.28*N121+0.20*O121+0.15*P121+0.08*(6-Q121)+0.07*(6-R121),2)</x:f>
        <x:v>2.91</x:v>
      </x:c>
      <x:c r="T121" s="14" t="str">
        <x:v>中</x:v>
      </x:c>
      <x:c r="U121" s="25"/>
      <x:c r="V121" s="25"/>
      <x:c r="W121" s="25"/>
      <x:c r="X121" s="25"/>
      <x:c r="Y121" s="25"/>
      <x:c r="Z121" s="25"/>
    </x:row>
    <x:row r="122">
      <x:c r="A122" s="14" t="str">
        <x:v>PLI-121</x:v>
      </x:c>
      <x:c r="B122" s="14" t="str">
        <x:v>08 Social &amp; Pet Friends</x:v>
      </x:c>
      <x:c r="C122" s="14" t="str">
        <x:v>Groups</x:v>
      </x:c>
      <x:c r="D122" s="14" t="str">
        <x:v>训练/成长小组</x:v>
      </x:c>
      <x:c r="E122" s="14" t="str">
        <x:v>按训练项目或成长阶段建立受控小组，不以无限信息流为核心。</x:v>
      </x:c>
      <x:c r="F122" s="14" t="str">
        <x:v>宠主</x:v>
      </x:c>
      <x:c r="G122" s="14" t="str">
        <x:v>无/规则</x:v>
      </x:c>
      <x:c r="H122" s="14" t="str">
        <x:v>否</x:v>
      </x:c>
      <x:c r="I122" s="14" t="str">
        <x:v>GroupJoined</x:v>
      </x:c>
      <x:c r="J122" s="14" t="str"/>
      <x:c r="K122" s="14" t="str">
        <x:v>Future</x:v>
      </x:c>
      <x:c r="L122" s="14" t="str">
        <x:v>Future</x:v>
      </x:c>
      <x:c r="M122" s="14" t="n">
        <x:v>2</x:v>
      </x:c>
      <x:c r="N122" s="14" t="n">
        <x:v>3</x:v>
      </x:c>
      <x:c r="O122" s="14" t="n">
        <x:v>3</x:v>
      </x:c>
      <x:c r="P122" s="14" t="n">
        <x:v>2</x:v>
      </x:c>
      <x:c r="Q122" s="14" t="n">
        <x:v>3</x:v>
      </x:c>
      <x:c r="R122" s="14" t="n">
        <x:v>2</x:v>
      </x:c>
      <x:c r="S122" s="14" t="n">
        <x:f>ROUND(0.22*M122+0.28*N122+0.20*O122+0.15*P122+0.08*(6-Q122)+0.07*(6-R122),2)</x:f>
        <x:v>2.7</x:v>
      </x:c>
      <x:c r="T122" s="14" t="str">
        <x:v>低</x:v>
      </x:c>
      <x:c r="U122" s="25"/>
      <x:c r="V122" s="25"/>
      <x:c r="W122" s="25"/>
      <x:c r="X122" s="25"/>
      <x:c r="Y122" s="25"/>
      <x:c r="Z122" s="25"/>
    </x:row>
    <x:row r="123">
      <x:c r="A123" s="14" t="str">
        <x:v>PLI-122</x:v>
      </x:c>
      <x:c r="B123" s="14" t="str">
        <x:v>08 Social &amp; Pet Friends</x:v>
      </x:c>
      <x:c r="C123" s="14" t="str">
        <x:v>Privacy</x:v>
      </x:c>
      <x:c r="D123" s="14" t="str">
        <x:v>社交可见性控制</x:v>
      </x:c>
      <x:c r="E123" s="14" t="str">
        <x:v>宠物头像、年龄、健康、互动历史分别设置可见范围。</x:v>
      </x:c>
      <x:c r="F123" s="14" t="str">
        <x:v>宠主</x:v>
      </x:c>
      <x:c r="G123" s="14" t="str">
        <x:v>无/规则</x:v>
      </x:c>
      <x:c r="H123" s="14" t="str">
        <x:v>否</x:v>
      </x:c>
      <x:c r="I123" s="14" t="str">
        <x:v>SocialPrivacyChanged</x:v>
      </x:c>
      <x:c r="J123" s="14" t="str"/>
      <x:c r="K123" s="14" t="str">
        <x:v>v1.0</x:v>
      </x:c>
      <x:c r="L123" s="14" t="str">
        <x:v>P2</x:v>
      </x:c>
      <x:c r="M123" s="14" t="n">
        <x:v>1</x:v>
      </x:c>
      <x:c r="N123" s="14" t="n">
        <x:v>5</x:v>
      </x:c>
      <x:c r="O123" s="14" t="n">
        <x:v>4</x:v>
      </x:c>
      <x:c r="P123" s="14" t="n">
        <x:v>2</x:v>
      </x:c>
      <x:c r="Q123" s="14" t="n">
        <x:v>3</x:v>
      </x:c>
      <x:c r="R123" s="14" t="n">
        <x:v>5</x:v>
      </x:c>
      <x:c r="S123" s="14" t="n">
        <x:f>ROUND(0.22*M123+0.28*N123+0.20*O123+0.15*P123+0.08*(6-Q123)+0.07*(6-R123),2)</x:f>
        <x:v>3.03</x:v>
      </x:c>
      <x:c r="T123" s="14" t="str">
        <x:v>高</x:v>
      </x:c>
      <x:c r="U123" s="25"/>
      <x:c r="V123" s="25"/>
      <x:c r="W123" s="25"/>
      <x:c r="X123" s="25"/>
      <x:c r="Y123" s="25"/>
      <x:c r="Z123" s="25"/>
    </x:row>
    <x:row r="124">
      <x:c r="A124" s="14" t="str">
        <x:v>PLI-123</x:v>
      </x:c>
      <x:c r="B124" s="14" t="str">
        <x:v>08 Social &amp; Pet Friends</x:v>
      </x:c>
      <x:c r="C124" s="14" t="str">
        <x:v>Moderation</x:v>
      </x:c>
      <x:c r="D124" s="14" t="str">
        <x:v>举报与安全治理</x:v>
      </x:c>
      <x:c r="E124" s="14" t="str">
        <x:v>支持骚扰、虐待、虚假健康信息等举报与处置。</x:v>
      </x:c>
      <x:c r="F124" s="14" t="str">
        <x:v>宠主</x:v>
      </x:c>
      <x:c r="G124" s="14" t="str">
        <x:v>内容安全</x:v>
      </x:c>
      <x:c r="H124" s="14" t="str">
        <x:v>是</x:v>
      </x:c>
      <x:c r="I124" s="14" t="str">
        <x:v>ReportSubmitted</x:v>
      </x:c>
      <x:c r="J124" s="14" t="str"/>
      <x:c r="K124" s="14" t="str">
        <x:v>Future</x:v>
      </x:c>
      <x:c r="L124" s="14" t="str">
        <x:v>Future</x:v>
      </x:c>
      <x:c r="M124" s="14" t="n">
        <x:v>1</x:v>
      </x:c>
      <x:c r="N124" s="14" t="n">
        <x:v>5</x:v>
      </x:c>
      <x:c r="O124" s="14" t="n">
        <x:v>2</x:v>
      </x:c>
      <x:c r="P124" s="14" t="n">
        <x:v>2</x:v>
      </x:c>
      <x:c r="Q124" s="14" t="n">
        <x:v>4</x:v>
      </x:c>
      <x:c r="R124" s="14" t="n">
        <x:v>5</x:v>
      </x:c>
      <x:c r="S124" s="14" t="n">
        <x:f>ROUND(0.22*M124+0.28*N124+0.20*O124+0.15*P124+0.08*(6-Q124)+0.07*(6-R124),2)</x:f>
        <x:v>2.55</x:v>
      </x:c>
      <x:c r="T124" s="14" t="str">
        <x:v>高</x:v>
      </x:c>
      <x:c r="U124" s="25"/>
      <x:c r="V124" s="25"/>
      <x:c r="W124" s="25"/>
      <x:c r="X124" s="25"/>
      <x:c r="Y124" s="25"/>
      <x:c r="Z124" s="25"/>
    </x:row>
    <x:row r="125">
      <x:c r="A125" s="14" t="str">
        <x:v>PLI-124</x:v>
      </x:c>
      <x:c r="B125" s="14" t="str">
        <x:v>08 Social &amp; Pet Friends</x:v>
      </x:c>
      <x:c r="C125" s="14" t="str">
        <x:v>Memories</x:v>
      </x:c>
      <x:c r="D125" s="14" t="str">
        <x:v>好友共同回忆</x:v>
      </x:c>
      <x:c r="E125" s="14" t="str">
        <x:v>共同照片/互动事件可双方授权后出现在各自Life Timeline。</x:v>
      </x:c>
      <x:c r="F125" s="14" t="str">
        <x:v>宠主</x:v>
      </x:c>
      <x:c r="G125" s="14" t="str">
        <x:v>无/规则</x:v>
      </x:c>
      <x:c r="H125" s="14" t="str">
        <x:v>否</x:v>
      </x:c>
      <x:c r="I125" s="14" t="str">
        <x:v>SharedMemoryCreated</x:v>
      </x:c>
      <x:c r="J125" s="14" t="str"/>
      <x:c r="K125" s="14" t="str">
        <x:v>Future</x:v>
      </x:c>
      <x:c r="L125" s="14" t="str">
        <x:v>Future</x:v>
      </x:c>
      <x:c r="M125" s="14" t="n">
        <x:v>1</x:v>
      </x:c>
      <x:c r="N125" s="14" t="n">
        <x:v>3</x:v>
      </x:c>
      <x:c r="O125" s="14" t="n">
        <x:v>4</x:v>
      </x:c>
      <x:c r="P125" s="14" t="n">
        <x:v>2</x:v>
      </x:c>
      <x:c r="Q125" s="14" t="n">
        <x:v>3</x:v>
      </x:c>
      <x:c r="R125" s="14" t="n">
        <x:v>2</x:v>
      </x:c>
      <x:c r="S125" s="14" t="n">
        <x:f>ROUND(0.22*M125+0.28*N125+0.20*O125+0.15*P125+0.08*(6-Q125)+0.07*(6-R125),2)</x:f>
        <x:v>2.68</x:v>
      </x:c>
      <x:c r="T125" s="14" t="str">
        <x:v>低</x:v>
      </x:c>
      <x:c r="U125" s="25"/>
      <x:c r="V125" s="25"/>
      <x:c r="W125" s="25"/>
      <x:c r="X125" s="25"/>
      <x:c r="Y125" s="25"/>
      <x:c r="Z125" s="25"/>
    </x:row>
    <x:row r="126">
      <x:c r="A126" s="14" t="str">
        <x:v>PLI-125</x:v>
      </x:c>
      <x:c r="B126" s="14" t="str">
        <x:v>09 Devices &amp; Home Intelligence</x:v>
      </x:c>
      <x:c r="C126" s="14" t="str">
        <x:v>Device Hub</x:v>
      </x:c>
      <x:c r="D126" s="14" t="str">
        <x:v>设备账户连接</x:v>
      </x:c>
      <x:c r="E126" s="14" t="str">
        <x:v>连接喂食器、饮水机、项圈、摄像头、猫砂盆等第三方来源。</x:v>
      </x:c>
      <x:c r="F126" s="14" t="str">
        <x:v>宠主</x:v>
      </x:c>
      <x:c r="G126" s="14" t="str">
        <x:v>无/规则</x:v>
      </x:c>
      <x:c r="H126" s="14" t="str">
        <x:v>否</x:v>
      </x:c>
      <x:c r="I126" s="14" t="str">
        <x:v>DeviceConnected</x:v>
      </x:c>
      <x:c r="J126" s="14" t="str"/>
      <x:c r="K126" s="14" t="str">
        <x:v>v1.0</x:v>
      </x:c>
      <x:c r="L126" s="14" t="str">
        <x:v>P2</x:v>
      </x:c>
      <x:c r="M126" s="14" t="n">
        <x:v>3</x:v>
      </x:c>
      <x:c r="N126" s="14" t="n">
        <x:v>5</x:v>
      </x:c>
      <x:c r="O126" s="14" t="n">
        <x:v>5</x:v>
      </x:c>
      <x:c r="P126" s="14" t="n">
        <x:v>4</x:v>
      </x:c>
      <x:c r="Q126" s="14" t="n">
        <x:v>5</x:v>
      </x:c>
      <x:c r="R126" s="14" t="n">
        <x:v>3</x:v>
      </x:c>
      <x:c r="S126" s="14" t="n">
        <x:f>ROUND(0.22*M126+0.28*N126+0.20*O126+0.15*P126+0.08*(6-Q126)+0.07*(6-R126),2)</x:f>
        <x:v>3.95</x:v>
      </x:c>
      <x:c r="T126" s="14" t="str">
        <x:v>中</x:v>
      </x:c>
      <x:c r="U126" s="25"/>
      <x:c r="V126" s="25"/>
      <x:c r="W126" s="25"/>
      <x:c r="X126" s="25"/>
      <x:c r="Y126" s="25"/>
      <x:c r="Z126" s="25"/>
    </x:row>
    <x:row r="127">
      <x:c r="A127" s="14" t="str">
        <x:v>PLI-126</x:v>
      </x:c>
      <x:c r="B127" s="14" t="str">
        <x:v>09 Devices &amp; Home Intelligence</x:v>
      </x:c>
      <x:c r="C127" s="14" t="str">
        <x:v>Device Hub</x:v>
      </x:c>
      <x:c r="D127" s="14" t="str">
        <x:v>设备与宠物绑定</x:v>
      </x:c>
      <x:c r="E127" s="14" t="str">
        <x:v>明确每个设备服务哪只/哪些宠物。</x:v>
      </x:c>
      <x:c r="F127" s="14" t="str">
        <x:v>宠主</x:v>
      </x:c>
      <x:c r="G127" s="14" t="str">
        <x:v>无/规则</x:v>
      </x:c>
      <x:c r="H127" s="14" t="str">
        <x:v>否</x:v>
      </x:c>
      <x:c r="I127" s="14" t="str">
        <x:v>DevicePetLinked</x:v>
      </x:c>
      <x:c r="J127" s="14" t="str"/>
      <x:c r="K127" s="14" t="str">
        <x:v>v1.0</x:v>
      </x:c>
      <x:c r="L127" s="14" t="str">
        <x:v>P2</x:v>
      </x:c>
      <x:c r="M127" s="14" t="n">
        <x:v>2</x:v>
      </x:c>
      <x:c r="N127" s="14" t="n">
        <x:v>5</x:v>
      </x:c>
      <x:c r="O127" s="14" t="n">
        <x:v>5</x:v>
      </x:c>
      <x:c r="P127" s="14" t="n">
        <x:v>3</x:v>
      </x:c>
      <x:c r="Q127" s="14" t="n">
        <x:v>3</x:v>
      </x:c>
      <x:c r="R127" s="14" t="n">
        <x:v>2</x:v>
      </x:c>
      <x:c r="S127" s="14" t="n">
        <x:f>ROUND(0.22*M127+0.28*N127+0.20*O127+0.15*P127+0.08*(6-Q127)+0.07*(6-R127),2)</x:f>
        <x:v>3.81</x:v>
      </x:c>
      <x:c r="T127" s="14" t="str">
        <x:v>低</x:v>
      </x:c>
      <x:c r="U127" s="25"/>
      <x:c r="V127" s="25"/>
      <x:c r="W127" s="25"/>
      <x:c r="X127" s="25"/>
      <x:c r="Y127" s="25"/>
      <x:c r="Z127" s="25"/>
    </x:row>
    <x:row r="128">
      <x:c r="A128" s="14" t="str">
        <x:v>PLI-127</x:v>
      </x:c>
      <x:c r="B128" s="14" t="str">
        <x:v>09 Devices &amp; Home Intelligence</x:v>
      </x:c>
      <x:c r="C128" s="14" t="str">
        <x:v>Normalization</x:v>
      </x:c>
      <x:c r="D128" s="14" t="str">
        <x:v>统一事件转换</x:v>
      </x:c>
      <x:c r="E128" s="14" t="str">
        <x:v>不同厂商数据转成Meal/Drink/Litter/Activity/Sleep等Canonical Event。</x:v>
      </x:c>
      <x:c r="F128" s="14" t="str">
        <x:v>宠主</x:v>
      </x:c>
      <x:c r="G128" s="14" t="str">
        <x:v>无/规则</x:v>
      </x:c>
      <x:c r="H128" s="14" t="str">
        <x:v>否</x:v>
      </x:c>
      <x:c r="I128" s="14" t="str">
        <x:v>DeviceEventNormalized</x:v>
      </x:c>
      <x:c r="J128" s="14" t="str"/>
      <x:c r="K128" s="14" t="str">
        <x:v>v1.0</x:v>
      </x:c>
      <x:c r="L128" s="14" t="str">
        <x:v>P2</x:v>
      </x:c>
      <x:c r="M128" s="14" t="n">
        <x:v>5</x:v>
      </x:c>
      <x:c r="N128" s="14" t="n">
        <x:v>5</x:v>
      </x:c>
      <x:c r="O128" s="14" t="n">
        <x:v>5</x:v>
      </x:c>
      <x:c r="P128" s="14" t="n">
        <x:v>4</x:v>
      </x:c>
      <x:c r="Q128" s="14" t="n">
        <x:v>5</x:v>
      </x:c>
      <x:c r="R128" s="14" t="n">
        <x:v>2</x:v>
      </x:c>
      <x:c r="S128" s="14" t="n">
        <x:f>ROUND(0.22*M128+0.28*N128+0.20*O128+0.15*P128+0.08*(6-Q128)+0.07*(6-R128),2)</x:f>
        <x:v>4.46</x:v>
      </x:c>
      <x:c r="T128" s="14" t="str">
        <x:v>低</x:v>
      </x:c>
      <x:c r="U128" s="25"/>
      <x:c r="V128" s="25"/>
      <x:c r="W128" s="25"/>
      <x:c r="X128" s="25"/>
      <x:c r="Y128" s="25"/>
      <x:c r="Z128" s="25"/>
    </x:row>
    <x:row r="129">
      <x:c r="A129" s="14" t="str">
        <x:v>PLI-128</x:v>
      </x:c>
      <x:c r="B129" s="14" t="str">
        <x:v>09 Devices &amp; Home Intelligence</x:v>
      </x:c>
      <x:c r="C129" s="14" t="str">
        <x:v>Identity</x:v>
      </x:c>
      <x:c r="D129" s="14" t="str">
        <x:v>多宠个体归属</x:v>
      </x:c>
      <x:c r="E129" s="14" t="str">
        <x:v>结合RFID/视觉/重量/人工确认判断事件属于哪只宠物并保留置信度。</x:v>
      </x:c>
      <x:c r="F129" s="14" t="str">
        <x:v>宠主</x:v>
      </x:c>
      <x:c r="G129" s="14" t="str">
        <x:v>身份归因</x:v>
      </x:c>
      <x:c r="H129" s="14" t="str">
        <x:v>是</x:v>
      </x:c>
      <x:c r="I129" s="14" t="str">
        <x:v>EventAttribution</x:v>
      </x:c>
      <x:c r="J129" s="14" t="str"/>
      <x:c r="K129" s="14" t="str">
        <x:v>v1.0</x:v>
      </x:c>
      <x:c r="L129" s="14" t="str">
        <x:v>P2</x:v>
      </x:c>
      <x:c r="M129" s="14" t="n">
        <x:v>4</x:v>
      </x:c>
      <x:c r="N129" s="14" t="n">
        <x:v>5</x:v>
      </x:c>
      <x:c r="O129" s="14" t="n">
        <x:v>5</x:v>
      </x:c>
      <x:c r="P129" s="14" t="n">
        <x:v>4</x:v>
      </x:c>
      <x:c r="Q129" s="14" t="n">
        <x:v>5</x:v>
      </x:c>
      <x:c r="R129" s="14" t="n">
        <x:v>4</x:v>
      </x:c>
      <x:c r="S129" s="14" t="n">
        <x:f>ROUND(0.22*M129+0.28*N129+0.20*O129+0.15*P129+0.08*(6-Q129)+0.07*(6-R129),2)</x:f>
        <x:v>4.1</x:v>
      </x:c>
      <x:c r="T129" s="14" t="str">
        <x:v>中</x:v>
      </x:c>
      <x:c r="U129" s="25"/>
      <x:c r="V129" s="25"/>
      <x:c r="W129" s="25"/>
      <x:c r="X129" s="25"/>
      <x:c r="Y129" s="25"/>
      <x:c r="Z129" s="25"/>
    </x:row>
    <x:row r="130">
      <x:c r="A130" s="14" t="str">
        <x:v>PLI-129</x:v>
      </x:c>
      <x:c r="B130" s="14" t="str">
        <x:v>09 Devices &amp; Home Intelligence</x:v>
      </x:c>
      <x:c r="C130" s="14" t="str">
        <x:v>Quality</x:v>
      </x:c>
      <x:c r="D130" s="14" t="str">
        <x:v>设备数据质量检测</x:v>
      </x:c>
      <x:c r="E130" s="14" t="str">
        <x:v>识别断连、传感器异常、摄像头遮挡等，避免把坏数据解释成健康变化。</x:v>
      </x:c>
      <x:c r="F130" s="14" t="str">
        <x:v>宠主</x:v>
      </x:c>
      <x:c r="G130" s="14" t="str">
        <x:v>异常检测</x:v>
      </x:c>
      <x:c r="H130" s="14" t="str">
        <x:v>是</x:v>
      </x:c>
      <x:c r="I130" s="14" t="str">
        <x:v>DeviceQualityIssue</x:v>
      </x:c>
      <x:c r="J130" s="14" t="str"/>
      <x:c r="K130" s="14" t="str">
        <x:v>v1.0</x:v>
      </x:c>
      <x:c r="L130" s="14" t="str">
        <x:v>P2</x:v>
      </x:c>
      <x:c r="M130" s="14" t="n">
        <x:v>4</x:v>
      </x:c>
      <x:c r="N130" s="14" t="n">
        <x:v>5</x:v>
      </x:c>
      <x:c r="O130" s="14" t="n">
        <x:v>5</x:v>
      </x:c>
      <x:c r="P130" s="14" t="n">
        <x:v>3</x:v>
      </x:c>
      <x:c r="Q130" s="14" t="n">
        <x:v>4</x:v>
      </x:c>
      <x:c r="R130" s="14" t="n">
        <x:v>2</x:v>
      </x:c>
      <x:c r="S130" s="14" t="n">
        <x:f>ROUND(0.22*M130+0.28*N130+0.20*O130+0.15*P130+0.08*(6-Q130)+0.07*(6-R130),2)</x:f>
        <x:v>4.17</x:v>
      </x:c>
      <x:c r="T130" s="14" t="str">
        <x:v>低</x:v>
      </x:c>
      <x:c r="U130" s="25"/>
      <x:c r="V130" s="25"/>
      <x:c r="W130" s="25"/>
      <x:c r="X130" s="25"/>
      <x:c r="Y130" s="25"/>
      <x:c r="Z130" s="25"/>
    </x:row>
    <x:row r="131">
      <x:c r="A131" s="14" t="str">
        <x:v>PLI-130</x:v>
      </x:c>
      <x:c r="B131" s="14" t="str">
        <x:v>09 Devices &amp; Home Intelligence</x:v>
      </x:c>
      <x:c r="C131" s="14" t="str">
        <x:v>Camera</x:v>
      </x:c>
      <x:c r="D131" s="14" t="str">
        <x:v>家庭摄像头事件</x:v>
      </x:c>
      <x:c r="E131" s="14" t="str">
        <x:v>将叫声、进食、呕吐、排泄、玩耍等候选事件进入Review Queue。</x:v>
      </x:c>
      <x:c r="F131" s="14" t="str">
        <x:v>宠主</x:v>
      </x:c>
      <x:c r="G131" s="14" t="str">
        <x:v>CV/音频</x:v>
      </x:c>
      <x:c r="H131" s="14" t="str">
        <x:v>是</x:v>
      </x:c>
      <x:c r="I131" s="14" t="str">
        <x:v>CameraCandidateEvent</x:v>
      </x:c>
      <x:c r="J131" s="14" t="str"/>
      <x:c r="K131" s="14" t="str">
        <x:v>v1.0</x:v>
      </x:c>
      <x:c r="L131" s="14" t="str">
        <x:v>P2</x:v>
      </x:c>
      <x:c r="M131" s="14" t="n">
        <x:v>4</x:v>
      </x:c>
      <x:c r="N131" s="14" t="n">
        <x:v>4</x:v>
      </x:c>
      <x:c r="O131" s="14" t="n">
        <x:v>5</x:v>
      </x:c>
      <x:c r="P131" s="14" t="n">
        <x:v>4</x:v>
      </x:c>
      <x:c r="Q131" s="14" t="n">
        <x:v>5</x:v>
      </x:c>
      <x:c r="R131" s="14" t="n">
        <x:v>4</x:v>
      </x:c>
      <x:c r="S131" s="14" t="n">
        <x:f>ROUND(0.22*M131+0.28*N131+0.20*O131+0.15*P131+0.08*(6-Q131)+0.07*(6-R131),2)</x:f>
        <x:v>3.82</x:v>
      </x:c>
      <x:c r="T131" s="14" t="str">
        <x:v>中</x:v>
      </x:c>
      <x:c r="U131" s="25"/>
      <x:c r="V131" s="25"/>
      <x:c r="W131" s="25"/>
      <x:c r="X131" s="25"/>
      <x:c r="Y131" s="25"/>
      <x:c r="Z131" s="25"/>
    </x:row>
    <x:row r="132">
      <x:c r="A132" s="14" t="str">
        <x:v>PLI-131</x:v>
      </x:c>
      <x:c r="B132" s="14" t="str">
        <x:v>09 Devices &amp; Home Intelligence</x:v>
      </x:c>
      <x:c r="C132" s="14" t="str">
        <x:v>Review</x:v>
      </x:c>
      <x:c r="D132" s="14" t="str">
        <x:v>AI事件审核队列</x:v>
      </x:c>
      <x:c r="E132" s="14" t="str">
        <x:v>主人快速确认/纠正自动识别事件，为模型积累高质量标签。</x:v>
      </x:c>
      <x:c r="F132" s="14" t="str">
        <x:v>宠主</x:v>
      </x:c>
      <x:c r="G132" s="14" t="str">
        <x:v>无/规则</x:v>
      </x:c>
      <x:c r="H132" s="14" t="str">
        <x:v>否</x:v>
      </x:c>
      <x:c r="I132" s="14" t="str">
        <x:v>EventReviewed</x:v>
      </x:c>
      <x:c r="J132" s="14" t="str"/>
      <x:c r="K132" s="14" t="str">
        <x:v>v1.0</x:v>
      </x:c>
      <x:c r="L132" s="14" t="str">
        <x:v>P2</x:v>
      </x:c>
      <x:c r="M132" s="14" t="n">
        <x:v>4</x:v>
      </x:c>
      <x:c r="N132" s="14" t="n">
        <x:v>5</x:v>
      </x:c>
      <x:c r="O132" s="14" t="n">
        <x:v>5</x:v>
      </x:c>
      <x:c r="P132" s="14" t="n">
        <x:v>3</x:v>
      </x:c>
      <x:c r="Q132" s="14" t="n">
        <x:v>3</x:v>
      </x:c>
      <x:c r="R132" s="14" t="n">
        <x:v>2</x:v>
      </x:c>
      <x:c r="S132" s="14" t="n">
        <x:f>ROUND(0.22*M132+0.28*N132+0.20*O132+0.15*P132+0.08*(6-Q132)+0.07*(6-R132),2)</x:f>
        <x:v>4.25</x:v>
      </x:c>
      <x:c r="T132" s="14" t="str">
        <x:v>低</x:v>
      </x:c>
      <x:c r="U132" s="25"/>
      <x:c r="V132" s="25"/>
      <x:c r="W132" s="25"/>
      <x:c r="X132" s="25"/>
      <x:c r="Y132" s="25"/>
      <x:c r="Z132" s="25"/>
    </x:row>
    <x:row r="133">
      <x:c r="A133" s="14" t="str">
        <x:v>PLI-132</x:v>
      </x:c>
      <x:c r="B133" s="14" t="str">
        <x:v>09 Devices &amp; Home Intelligence</x:v>
      </x:c>
      <x:c r="C133" s="14" t="str">
        <x:v>Home Agent</x:v>
      </x:c>
      <x:c r="D133" s="14" t="str">
        <x:v>家庭状态摘要</x:v>
      </x:c>
      <x:c r="E133" s="14" t="str">
        <x:v>跨设备汇总今天吃喝、睡眠、活动、排泄和异常变化。</x:v>
      </x:c>
      <x:c r="F133" s="14" t="str">
        <x:v>宠主</x:v>
      </x:c>
      <x:c r="G133" s="14" t="str">
        <x:v>摘要/异常检测</x:v>
      </x:c>
      <x:c r="H133" s="14" t="str">
        <x:v>是</x:v>
      </x:c>
      <x:c r="I133" s="14" t="str">
        <x:v>HomeSummaryGenerated</x:v>
      </x:c>
      <x:c r="J133" s="14" t="str"/>
      <x:c r="K133" s="14" t="str">
        <x:v>v1.0</x:v>
      </x:c>
      <x:c r="L133" s="14" t="str">
        <x:v>P2</x:v>
      </x:c>
      <x:c r="M133" s="14" t="n">
        <x:v>5</x:v>
      </x:c>
      <x:c r="N133" s="14" t="n">
        <x:v>5</x:v>
      </x:c>
      <x:c r="O133" s="14" t="n">
        <x:v>5</x:v>
      </x:c>
      <x:c r="P133" s="14" t="n">
        <x:v>4</x:v>
      </x:c>
      <x:c r="Q133" s="14" t="n">
        <x:v>4</x:v>
      </x:c>
      <x:c r="R133" s="14" t="n">
        <x:v>3</x:v>
      </x:c>
      <x:c r="S133" s="14" t="n">
        <x:f>ROUND(0.22*M133+0.28*N133+0.20*O133+0.15*P133+0.08*(6-Q133)+0.07*(6-R133),2)</x:f>
        <x:v>4.47</x:v>
      </x:c>
      <x:c r="T133" s="14" t="str">
        <x:v>低</x:v>
      </x:c>
      <x:c r="U133" s="25"/>
      <x:c r="V133" s="25"/>
      <x:c r="W133" s="25"/>
      <x:c r="X133" s="25"/>
      <x:c r="Y133" s="25"/>
      <x:c r="Z133" s="25"/>
    </x:row>
    <x:row r="134">
      <x:c r="A134" s="14" t="str">
        <x:v>PLI-133</x:v>
      </x:c>
      <x:c r="B134" s="14" t="str">
        <x:v>09 Devices &amp; Home Intelligence</x:v>
      </x:c>
      <x:c r="C134" s="14" t="str">
        <x:v>Home Agent</x:v>
      </x:c>
      <x:c r="D134" s="14" t="str">
        <x:v>跨设备冲突解释</x:v>
      </x:c>
      <x:c r="E134" s="14" t="str">
        <x:v>当喂食器、摄像头和主人记录冲突时展示来源并请求确认。</x:v>
      </x:c>
      <x:c r="F134" s="14" t="str">
        <x:v>宠主</x:v>
      </x:c>
      <x:c r="G134" s="14" t="str">
        <x:v>证据融合</x:v>
      </x:c>
      <x:c r="H134" s="14" t="str">
        <x:v>是</x:v>
      </x:c>
      <x:c r="I134" s="14" t="str">
        <x:v>EvidenceConflictDetected</x:v>
      </x:c>
      <x:c r="J134" s="14" t="str"/>
      <x:c r="K134" s="14" t="str">
        <x:v>Future</x:v>
      </x:c>
      <x:c r="L134" s="14" t="str">
        <x:v>Future</x:v>
      </x:c>
      <x:c r="M134" s="14" t="n">
        <x:v>2</x:v>
      </x:c>
      <x:c r="N134" s="14" t="n">
        <x:v>5</x:v>
      </x:c>
      <x:c r="O134" s="14" t="n">
        <x:v>5</x:v>
      </x:c>
      <x:c r="P134" s="14" t="n">
        <x:v>3</x:v>
      </x:c>
      <x:c r="Q134" s="14" t="n">
        <x:v>5</x:v>
      </x:c>
      <x:c r="R134" s="14" t="n">
        <x:v>3</x:v>
      </x:c>
      <x:c r="S134" s="14" t="n">
        <x:f>ROUND(0.22*M134+0.28*N134+0.20*O134+0.15*P134+0.08*(6-Q134)+0.07*(6-R134),2)</x:f>
        <x:v>3.58</x:v>
      </x:c>
      <x:c r="T134" s="14" t="str">
        <x:v>低</x:v>
      </x:c>
      <x:c r="U134" s="25"/>
      <x:c r="V134" s="25"/>
      <x:c r="W134" s="25"/>
      <x:c r="X134" s="25"/>
      <x:c r="Y134" s="25"/>
      <x:c r="Z134" s="25"/>
    </x:row>
    <x:row r="135">
      <x:c r="A135" s="14" t="str">
        <x:v>PLI-134</x:v>
      </x:c>
      <x:c r="B135" s="14" t="str">
        <x:v>09 Devices &amp; Home Intelligence</x:v>
      </x:c>
      <x:c r="C135" s="14" t="str">
        <x:v>Automation</x:v>
      </x:c>
      <x:c r="D135" s="14" t="str">
        <x:v>安全自动化规则</x:v>
      </x:c>
      <x:c r="E135" s="14" t="str">
        <x:v>主人可设置低风险自动化，如完成喂食后关闭重复提醒。</x:v>
      </x:c>
      <x:c r="F135" s="14" t="str">
        <x:v>宠主</x:v>
      </x:c>
      <x:c r="G135" s="14" t="str">
        <x:v>规则编排</x:v>
      </x:c>
      <x:c r="H135" s="14" t="str">
        <x:v>规则为主</x:v>
      </x:c>
      <x:c r="I135" s="14" t="str">
        <x:v>AutomationExecuted</x:v>
      </x:c>
      <x:c r="J135" s="14" t="str"/>
      <x:c r="K135" s="14" t="str">
        <x:v>v1.0</x:v>
      </x:c>
      <x:c r="L135" s="14" t="str">
        <x:v>P2</x:v>
      </x:c>
      <x:c r="M135" s="14" t="n">
        <x:v>4</x:v>
      </x:c>
      <x:c r="N135" s="14" t="n">
        <x:v>4</x:v>
      </x:c>
      <x:c r="O135" s="14" t="n">
        <x:v>4</x:v>
      </x:c>
      <x:c r="P135" s="14" t="n">
        <x:v>3</x:v>
      </x:c>
      <x:c r="Q135" s="14" t="n">
        <x:v>4</x:v>
      </x:c>
      <x:c r="R135" s="14" t="n">
        <x:v>3</x:v>
      </x:c>
      <x:c r="S135" s="14" t="n">
        <x:f>ROUND(0.22*M135+0.28*N135+0.20*O135+0.15*P135+0.08*(6-Q135)+0.07*(6-R135),2)</x:f>
        <x:v>3.62</x:v>
      </x:c>
      <x:c r="T135" s="14" t="str">
        <x:v>低</x:v>
      </x:c>
      <x:c r="U135" s="25"/>
      <x:c r="V135" s="25"/>
      <x:c r="W135" s="25"/>
      <x:c r="X135" s="25"/>
      <x:c r="Y135" s="25"/>
      <x:c r="Z135" s="25"/>
    </x:row>
    <x:row r="136">
      <x:c r="A136" s="14" t="str">
        <x:v>PLI-135</x:v>
      </x:c>
      <x:c r="B136" s="14" t="str">
        <x:v>09 Devices &amp; Home Intelligence</x:v>
      </x:c>
      <x:c r="C136" s="14" t="str">
        <x:v>Automation</x:v>
      </x:c>
      <x:c r="D136" s="14" t="str">
        <x:v>高风险动作需确认</x:v>
      </x:c>
      <x:c r="E136" s="14" t="str">
        <x:v>设备喂食量、药物相关、门锁等敏感动作默认要求确认或禁止自动执行。</x:v>
      </x:c>
      <x:c r="F136" s="14" t="str">
        <x:v>宠主</x:v>
      </x:c>
      <x:c r="G136" s="14" t="str">
        <x:v>权限/策略</x:v>
      </x:c>
      <x:c r="H136" s="14" t="str">
        <x:v>是</x:v>
      </x:c>
      <x:c r="I136" s="14" t="str">
        <x:v>ActionApprovalRequired</x:v>
      </x:c>
      <x:c r="J136" s="14" t="str"/>
      <x:c r="K136" s="14" t="str">
        <x:v>v1.0</x:v>
      </x:c>
      <x:c r="L136" s="14" t="str">
        <x:v>P2</x:v>
      </x:c>
      <x:c r="M136" s="14" t="n">
        <x:v>2</x:v>
      </x:c>
      <x:c r="N136" s="14" t="n">
        <x:v>5</x:v>
      </x:c>
      <x:c r="O136" s="14" t="n">
        <x:v>4</x:v>
      </x:c>
      <x:c r="P136" s="14" t="n">
        <x:v>2</x:v>
      </x:c>
      <x:c r="Q136" s="14" t="n">
        <x:v>4</x:v>
      </x:c>
      <x:c r="R136" s="14" t="n">
        <x:v>5</x:v>
      </x:c>
      <x:c r="S136" s="14" t="n">
        <x:f>ROUND(0.22*M136+0.28*N136+0.20*O136+0.15*P136+0.08*(6-Q136)+0.07*(6-R136),2)</x:f>
        <x:v>3.17</x:v>
      </x:c>
      <x:c r="T136" s="14" t="str">
        <x:v>高</x:v>
      </x:c>
      <x:c r="U136" s="25"/>
      <x:c r="V136" s="25"/>
      <x:c r="W136" s="25"/>
      <x:c r="X136" s="25"/>
      <x:c r="Y136" s="25"/>
      <x:c r="Z136" s="25"/>
    </x:row>
    <x:row r="137">
      <x:c r="A137" s="14" t="str">
        <x:v>PLI-136</x:v>
      </x:c>
      <x:c r="B137" s="14" t="str">
        <x:v>09 Devices &amp; Home Intelligence</x:v>
      </x:c>
      <x:c r="C137" s="14" t="str">
        <x:v>Environment</x:v>
      </x:c>
      <x:c r="D137" s="14" t="str">
        <x:v>环境传感器</x:v>
      </x:c>
      <x:c r="E137" s="14" t="str">
        <x:v>接入温湿度、空气质量、噪声等作为行为/福利上下文。</x:v>
      </x:c>
      <x:c r="F137" s="14" t="str">
        <x:v>宠主</x:v>
      </x:c>
      <x:c r="G137" s="14" t="str">
        <x:v>无/规则</x:v>
      </x:c>
      <x:c r="H137" s="14" t="str">
        <x:v>否</x:v>
      </x:c>
      <x:c r="I137" s="14" t="str">
        <x:v>EnvironmentObservation</x:v>
      </x:c>
      <x:c r="J137" s="14" t="str"/>
      <x:c r="K137" s="14" t="str">
        <x:v>Future</x:v>
      </x:c>
      <x:c r="L137" s="14" t="str">
        <x:v>Future</x:v>
      </x:c>
      <x:c r="M137" s="14" t="n">
        <x:v>3</x:v>
      </x:c>
      <x:c r="N137" s="14" t="n">
        <x:v>4</x:v>
      </x:c>
      <x:c r="O137" s="14" t="n">
        <x:v>5</x:v>
      </x:c>
      <x:c r="P137" s="14" t="n">
        <x:v>3</x:v>
      </x:c>
      <x:c r="Q137" s="14" t="n">
        <x:v>4</x:v>
      </x:c>
      <x:c r="R137" s="14" t="n">
        <x:v>2</x:v>
      </x:c>
      <x:c r="S137" s="14" t="n">
        <x:f>ROUND(0.22*M137+0.28*N137+0.20*O137+0.15*P137+0.08*(6-Q137)+0.07*(6-R137),2)</x:f>
        <x:v>3.67</x:v>
      </x:c>
      <x:c r="T137" s="14" t="str">
        <x:v>低</x:v>
      </x:c>
      <x:c r="U137" s="25"/>
      <x:c r="V137" s="25"/>
      <x:c r="W137" s="25"/>
      <x:c r="X137" s="25"/>
      <x:c r="Y137" s="25"/>
      <x:c r="Z137" s="25"/>
    </x:row>
    <x:row r="138">
      <x:c r="A138" s="14" t="str">
        <x:v>PLI-137</x:v>
      </x:c>
      <x:c r="B138" s="14" t="str">
        <x:v>09 Devices &amp; Home Intelligence</x:v>
      </x:c>
      <x:c r="C138" s="14" t="str">
        <x:v>Device History</x:v>
      </x:c>
      <x:c r="D138" s="14" t="str">
        <x:v>设备变更版本化</x:v>
      </x:c>
      <x:c r="E138" s="14" t="str">
        <x:v>记录设备型号、固件和算法版本，便于解释数据漂移。</x:v>
      </x:c>
      <x:c r="F138" s="14" t="str">
        <x:v>宠主</x:v>
      </x:c>
      <x:c r="G138" s="14" t="str">
        <x:v>无/规则</x:v>
      </x:c>
      <x:c r="H138" s="14" t="str">
        <x:v>否</x:v>
      </x:c>
      <x:c r="I138" s="14" t="str">
        <x:v>DeviceVersionRecorded</x:v>
      </x:c>
      <x:c r="J138" s="14" t="str"/>
      <x:c r="K138" s="14" t="str">
        <x:v>Future</x:v>
      </x:c>
      <x:c r="L138" s="14" t="str">
        <x:v>Future</x:v>
      </x:c>
      <x:c r="M138" s="14" t="n">
        <x:v>1</x:v>
      </x:c>
      <x:c r="N138" s="14" t="n">
        <x:v>4</x:v>
      </x:c>
      <x:c r="O138" s="14" t="n">
        <x:v>5</x:v>
      </x:c>
      <x:c r="P138" s="14" t="n">
        <x:v>2</x:v>
      </x:c>
      <x:c r="Q138" s="14" t="n">
        <x:v>4</x:v>
      </x:c>
      <x:c r="R138" s="14" t="n">
        <x:v>2</x:v>
      </x:c>
      <x:c r="S138" s="14" t="n">
        <x:f>ROUND(0.22*M138+0.28*N138+0.20*O138+0.15*P138+0.08*(6-Q138)+0.07*(6-R138),2)</x:f>
        <x:v>3.08</x:v>
      </x:c>
      <x:c r="T138" s="14" t="str">
        <x:v>低</x:v>
      </x:c>
      <x:c r="U138" s="25"/>
      <x:c r="V138" s="25"/>
      <x:c r="W138" s="25"/>
      <x:c r="X138" s="25"/>
      <x:c r="Y138" s="25"/>
      <x:c r="Z138" s="25"/>
    </x:row>
    <x:row r="139">
      <x:c r="A139" s="14" t="str">
        <x:v>PLI-138</x:v>
      </x:c>
      <x:c r="B139" s="14" t="str">
        <x:v>09 Devices &amp; Home Intelligence</x:v>
      </x:c>
      <x:c r="C139" s="14" t="str">
        <x:v>API</x:v>
      </x:c>
      <x:c r="D139" s="14" t="str">
        <x:v>设备开发者接口</x:v>
      </x:c>
      <x:c r="E139" s="14" t="str">
        <x:v>提供受控SDK/API，让新设备写入标准事件而非污染核心Schema。</x:v>
      </x:c>
      <x:c r="F139" s="14" t="str">
        <x:v>宠主</x:v>
      </x:c>
      <x:c r="G139" s="14" t="str">
        <x:v>无/规则</x:v>
      </x:c>
      <x:c r="H139" s="14" t="str">
        <x:v>否</x:v>
      </x:c>
      <x:c r="I139" s="14" t="str">
        <x:v>IntegrationRegistered</x:v>
      </x:c>
      <x:c r="J139" s="14" t="str"/>
      <x:c r="K139" s="14" t="str">
        <x:v>Future</x:v>
      </x:c>
      <x:c r="L139" s="14" t="str">
        <x:v>Future</x:v>
      </x:c>
      <x:c r="M139" s="14" t="n">
        <x:v>1</x:v>
      </x:c>
      <x:c r="N139" s="14" t="n">
        <x:v>4</x:v>
      </x:c>
      <x:c r="O139" s="14" t="n">
        <x:v>5</x:v>
      </x:c>
      <x:c r="P139" s="14" t="n">
        <x:v>4</x:v>
      </x:c>
      <x:c r="Q139" s="14" t="n">
        <x:v>5</x:v>
      </x:c>
      <x:c r="R139" s="14" t="n">
        <x:v>3</x:v>
      </x:c>
      <x:c r="S139" s="14" t="n">
        <x:f>ROUND(0.22*M139+0.28*N139+0.20*O139+0.15*P139+0.08*(6-Q139)+0.07*(6-R139),2)</x:f>
        <x:v>3.23</x:v>
      </x:c>
      <x:c r="T139" s="14" t="str">
        <x:v>中</x:v>
      </x:c>
      <x:c r="U139" s="25"/>
      <x:c r="V139" s="25"/>
      <x:c r="W139" s="25"/>
      <x:c r="X139" s="25"/>
      <x:c r="Y139" s="25"/>
      <x:c r="Z139" s="25"/>
    </x:row>
    <x:row r="140">
      <x:c r="A140" s="14" t="str">
        <x:v>PLI-139</x:v>
      </x:c>
      <x:c r="B140" s="14" t="str">
        <x:v>10 Care Services</x:v>
      </x:c>
      <x:c r="C140" s="14" t="str">
        <x:v>Service Profile</x:v>
      </x:c>
      <x:c r="D140" s="14" t="str">
        <x:v>服务需求画像</x:v>
      </x:c>
      <x:c r="E140" s="14" t="str">
        <x:v>从宠物档案生成寄养、遛狗、训练、美容等不同服务的需求摘要。</x:v>
      </x:c>
      <x:c r="F140" s="14" t="str">
        <x:v>宠主</x:v>
      </x:c>
      <x:c r="G140" s="14" t="str">
        <x:v>字段选择/摘要</x:v>
      </x:c>
      <x:c r="H140" s="14" t="str">
        <x:v>是</x:v>
      </x:c>
      <x:c r="I140" s="14" t="str">
        <x:v>ServiceNeedProfile</x:v>
      </x:c>
      <x:c r="J140" s="14" t="str"/>
      <x:c r="K140" s="14" t="str">
        <x:v>v1.0</x:v>
      </x:c>
      <x:c r="L140" s="14" t="str">
        <x:v>P2</x:v>
      </x:c>
      <x:c r="M140" s="14" t="n">
        <x:v>2</x:v>
      </x:c>
      <x:c r="N140" s="14" t="n">
        <x:v>5</x:v>
      </x:c>
      <x:c r="O140" s="14" t="n">
        <x:v>5</x:v>
      </x:c>
      <x:c r="P140" s="14" t="n">
        <x:v>4</x:v>
      </x:c>
      <x:c r="Q140" s="14" t="n">
        <x:v>3</x:v>
      </x:c>
      <x:c r="R140" s="14" t="n">
        <x:v>3</x:v>
      </x:c>
      <x:c r="S140" s="14" t="n">
        <x:f>ROUND(0.22*M140+0.28*N140+0.20*O140+0.15*P140+0.08*(6-Q140)+0.07*(6-R140),2)</x:f>
        <x:v>3.89</x:v>
      </x:c>
      <x:c r="T140" s="14" t="str">
        <x:v>低</x:v>
      </x:c>
      <x:c r="U140" s="25"/>
      <x:c r="V140" s="25"/>
      <x:c r="W140" s="25"/>
      <x:c r="X140" s="25"/>
      <x:c r="Y140" s="25"/>
      <x:c r="Z140" s="25"/>
    </x:row>
    <x:row r="141">
      <x:c r="A141" s="14" t="str">
        <x:v>PLI-140</x:v>
      </x:c>
      <x:c r="B141" s="14" t="str">
        <x:v>10 Care Services</x:v>
      </x:c>
      <x:c r="C141" s="14" t="str">
        <x:v>Care Card</x:v>
      </x:c>
      <x:c r="D141" s="14" t="str">
        <x:v>服务Care Card</x:v>
      </x:c>
      <x:c r="E141" s="14" t="str">
        <x:v>仅向服务方展示完成服务所需的饮食、行为、健康、联系人等最小信息。</x:v>
      </x:c>
      <x:c r="F141" s="14" t="str">
        <x:v>宠主</x:v>
      </x:c>
      <x:c r="G141" s="14" t="str">
        <x:v>无/规则</x:v>
      </x:c>
      <x:c r="H141" s="14" t="str">
        <x:v>否</x:v>
      </x:c>
      <x:c r="I141" s="14" t="str">
        <x:v>ServiceCareCardIssued</x:v>
      </x:c>
      <x:c r="J141" s="14" t="str"/>
      <x:c r="K141" s="14" t="str">
        <x:v>v1.0</x:v>
      </x:c>
      <x:c r="L141" s="14" t="str">
        <x:v>P2</x:v>
      </x:c>
      <x:c r="M141" s="14" t="n">
        <x:v>2</x:v>
      </x:c>
      <x:c r="N141" s="14" t="n">
        <x:v>5</x:v>
      </x:c>
      <x:c r="O141" s="14" t="n">
        <x:v>5</x:v>
      </x:c>
      <x:c r="P141" s="14" t="n">
        <x:v>4</x:v>
      </x:c>
      <x:c r="Q141" s="14" t="n">
        <x:v>3</x:v>
      </x:c>
      <x:c r="R141" s="14" t="n">
        <x:v>4</x:v>
      </x:c>
      <x:c r="S141" s="14" t="n">
        <x:f>ROUND(0.22*M141+0.28*N141+0.20*O141+0.15*P141+0.08*(6-Q141)+0.07*(6-R141),2)</x:f>
        <x:v>3.82</x:v>
      </x:c>
      <x:c r="T141" s="14" t="str">
        <x:v>中</x:v>
      </x:c>
      <x:c r="U141" s="25"/>
      <x:c r="V141" s="25"/>
      <x:c r="W141" s="25"/>
      <x:c r="X141" s="25"/>
      <x:c r="Y141" s="25"/>
      <x:c r="Z141" s="25"/>
    </x:row>
    <x:row r="142">
      <x:c r="A142" s="14" t="str">
        <x:v>PLI-141</x:v>
      </x:c>
      <x:c r="B142" s="14" t="str">
        <x:v>10 Care Services</x:v>
      </x:c>
      <x:c r="C142" s="14" t="str">
        <x:v>Matching</x:v>
      </x:c>
      <x:c r="D142" s="14" t="str">
        <x:v>服务者匹配</x:v>
      </x:c>
      <x:c r="E142" s="14" t="str">
        <x:v>按经验、家庭环境、可给药、是否有其他宠物等条件匹配，而非只按价格。</x:v>
      </x:c>
      <x:c r="F142" s="14" t="str">
        <x:v>宠主</x:v>
      </x:c>
      <x:c r="G142" s="14" t="str">
        <x:v>排序/匹配</x:v>
      </x:c>
      <x:c r="H142" s="14" t="str">
        <x:v>是</x:v>
      </x:c>
      <x:c r="I142" s="14" t="str">
        <x:v>ServiceRecommendation</x:v>
      </x:c>
      <x:c r="J142" s="14" t="str"/>
      <x:c r="K142" s="14" t="str">
        <x:v>v1.0</x:v>
      </x:c>
      <x:c r="L142" s="14" t="str">
        <x:v>P2</x:v>
      </x:c>
      <x:c r="M142" s="14" t="n">
        <x:v>2</x:v>
      </x:c>
      <x:c r="N142" s="14" t="n">
        <x:v>5</x:v>
      </x:c>
      <x:c r="O142" s="14" t="n">
        <x:v>5</x:v>
      </x:c>
      <x:c r="P142" s="14" t="n">
        <x:v>5</x:v>
      </x:c>
      <x:c r="Q142" s="14" t="n">
        <x:v>5</x:v>
      </x:c>
      <x:c r="R142" s="14" t="n">
        <x:v>3</x:v>
      </x:c>
      <x:c r="S142" s="14" t="n">
        <x:f>ROUND(0.22*M142+0.28*N142+0.20*O142+0.15*P142+0.08*(6-Q142)+0.07*(6-R142),2)</x:f>
        <x:v>3.88</x:v>
      </x:c>
      <x:c r="T142" s="14" t="str">
        <x:v>低</x:v>
      </x:c>
      <x:c r="U142" s="25"/>
      <x:c r="V142" s="25"/>
      <x:c r="W142" s="25"/>
      <x:c r="X142" s="25"/>
      <x:c r="Y142" s="25"/>
      <x:c r="Z142" s="25"/>
    </x:row>
    <x:row r="143">
      <x:c r="A143" s="14" t="str">
        <x:v>PLI-142</x:v>
      </x:c>
      <x:c r="B143" s="14" t="str">
        <x:v>10 Care Services</x:v>
      </x:c>
      <x:c r="C143" s="14" t="str">
        <x:v>Booking</x:v>
      </x:c>
      <x:c r="D143" s="14" t="str">
        <x:v>服务请求与预约</x:v>
      </x:c>
      <x:c r="E143" s="14" t="str">
        <x:v>创建需求、时间、范围、费用、取消规则和照护责任。</x:v>
      </x:c>
      <x:c r="F143" s="14" t="str">
        <x:v>宠主</x:v>
      </x:c>
      <x:c r="G143" s="14" t="str">
        <x:v>无/规则</x:v>
      </x:c>
      <x:c r="H143" s="14" t="str">
        <x:v>否</x:v>
      </x:c>
      <x:c r="I143" s="14" t="str">
        <x:v>ServiceBookingCreated</x:v>
      </x:c>
      <x:c r="J143" s="14" t="str"/>
      <x:c r="K143" s="14" t="str">
        <x:v>v1.0</x:v>
      </x:c>
      <x:c r="L143" s="14" t="str">
        <x:v>P2</x:v>
      </x:c>
      <x:c r="M143" s="14" t="n">
        <x:v>2</x:v>
      </x:c>
      <x:c r="N143" s="14" t="n">
        <x:v>5</x:v>
      </x:c>
      <x:c r="O143" s="14" t="n">
        <x:v>4</x:v>
      </x:c>
      <x:c r="P143" s="14" t="n">
        <x:v>5</x:v>
      </x:c>
      <x:c r="Q143" s="14" t="n">
        <x:v>4</x:v>
      </x:c>
      <x:c r="R143" s="14" t="n">
        <x:v>3</x:v>
      </x:c>
      <x:c r="S143" s="14" t="n">
        <x:f>ROUND(0.22*M143+0.28*N143+0.20*O143+0.15*P143+0.08*(6-Q143)+0.07*(6-R143),2)</x:f>
        <x:v>3.76</x:v>
      </x:c>
      <x:c r="T143" s="14" t="str">
        <x:v>低</x:v>
      </x:c>
      <x:c r="U143" s="25"/>
      <x:c r="V143" s="25"/>
      <x:c r="W143" s="25"/>
      <x:c r="X143" s="25"/>
      <x:c r="Y143" s="25"/>
      <x:c r="Z143" s="25"/>
    </x:row>
    <x:row r="144">
      <x:c r="A144" s="14" t="str">
        <x:v>PLI-143</x:v>
      </x:c>
      <x:c r="B144" s="14" t="str">
        <x:v>10 Care Services</x:v>
      </x:c>
      <x:c r="C144" s="14" t="str">
        <x:v>Pre-service</x:v>
      </x:c>
      <x:c r="D144" s="14" t="str">
        <x:v>服务前交接清单</x:v>
      </x:c>
      <x:c r="E144" s="14" t="str">
        <x:v>确认食物、药物、用品、行为禁忌、紧急流程。</x:v>
      </x:c>
      <x:c r="F144" s="14" t="str">
        <x:v>宠主</x:v>
      </x:c>
      <x:c r="G144" s="14" t="str">
        <x:v>无/规则</x:v>
      </x:c>
      <x:c r="H144" s="14" t="str">
        <x:v>否</x:v>
      </x:c>
      <x:c r="I144" s="14" t="str">
        <x:v>ServiceHandoffCompleted</x:v>
      </x:c>
      <x:c r="J144" s="14" t="str"/>
      <x:c r="K144" s="14" t="str">
        <x:v>v1.0</x:v>
      </x:c>
      <x:c r="L144" s="14" t="str">
        <x:v>P2</x:v>
      </x:c>
      <x:c r="M144" s="14" t="n">
        <x:v>2</x:v>
      </x:c>
      <x:c r="N144" s="14" t="n">
        <x:v>5</x:v>
      </x:c>
      <x:c r="O144" s="14" t="n">
        <x:v>5</x:v>
      </x:c>
      <x:c r="P144" s="14" t="n">
        <x:v>4</x:v>
      </x:c>
      <x:c r="Q144" s="14" t="n">
        <x:v>3</x:v>
      </x:c>
      <x:c r="R144" s="14" t="n">
        <x:v>2</x:v>
      </x:c>
      <x:c r="S144" s="14" t="n">
        <x:f>ROUND(0.22*M144+0.28*N144+0.20*O144+0.15*P144+0.08*(6-Q144)+0.07*(6-R144),2)</x:f>
        <x:v>3.96</x:v>
      </x:c>
      <x:c r="T144" s="14" t="str">
        <x:v>低</x:v>
      </x:c>
      <x:c r="U144" s="25"/>
      <x:c r="V144" s="25"/>
      <x:c r="W144" s="25"/>
      <x:c r="X144" s="25"/>
      <x:c r="Y144" s="25"/>
      <x:c r="Z144" s="25"/>
    </x:row>
    <x:row r="145">
      <x:c r="A145" s="14" t="str">
        <x:v>PLI-144</x:v>
      </x:c>
      <x:c r="B145" s="14" t="str">
        <x:v>10 Care Services</x:v>
      </x:c>
      <x:c r="C145" s="14" t="str">
        <x:v>During</x:v>
      </x:c>
      <x:c r="D145" s="14" t="str">
        <x:v>服务期间更新</x:v>
      </x:c>
      <x:c r="E145" s="14" t="str">
        <x:v>服务方按简化模板提交吃喝、排泄、活动、药物和异常。</x:v>
      </x:c>
      <x:c r="F145" s="14" t="str">
        <x:v>宠主</x:v>
      </x:c>
      <x:c r="G145" s="14" t="str">
        <x:v>无/规则</x:v>
      </x:c>
      <x:c r="H145" s="14" t="str">
        <x:v>否</x:v>
      </x:c>
      <x:c r="I145" s="14" t="str">
        <x:v>ServiceCareUpdate</x:v>
      </x:c>
      <x:c r="J145" s="14" t="str"/>
      <x:c r="K145" s="14" t="str">
        <x:v>v1.0</x:v>
      </x:c>
      <x:c r="L145" s="14" t="str">
        <x:v>P2</x:v>
      </x:c>
      <x:c r="M145" s="14" t="n">
        <x:v>3</x:v>
      </x:c>
      <x:c r="N145" s="14" t="n">
        <x:v>5</x:v>
      </x:c>
      <x:c r="O145" s="14" t="n">
        <x:v>5</x:v>
      </x:c>
      <x:c r="P145" s="14" t="n">
        <x:v>4</x:v>
      </x:c>
      <x:c r="Q145" s="14" t="n">
        <x:v>3</x:v>
      </x:c>
      <x:c r="R145" s="14" t="n">
        <x:v>2</x:v>
      </x:c>
      <x:c r="S145" s="14" t="n">
        <x:f>ROUND(0.22*M145+0.28*N145+0.20*O145+0.15*P145+0.08*(6-Q145)+0.07*(6-R145),2)</x:f>
        <x:v>4.18</x:v>
      </x:c>
      <x:c r="T145" s="14" t="str">
        <x:v>低</x:v>
      </x:c>
      <x:c r="U145" s="25"/>
      <x:c r="V145" s="25"/>
      <x:c r="W145" s="25"/>
      <x:c r="X145" s="25"/>
      <x:c r="Y145" s="25"/>
      <x:c r="Z145" s="25"/>
    </x:row>
    <x:row r="146">
      <x:c r="A146" s="14" t="str">
        <x:v>PLI-145</x:v>
      </x:c>
      <x:c r="B146" s="14" t="str">
        <x:v>10 Care Services</x:v>
      </x:c>
      <x:c r="C146" s="14" t="str">
        <x:v>During</x:v>
      </x:c>
      <x:c r="D146" s="14" t="str">
        <x:v>异常升级流程</x:v>
      </x:c>
      <x:c r="E146" s="14" t="str">
        <x:v>服务期间出现异常时按主人预设流程联系主人/备用联系人/兽医。</x:v>
      </x:c>
      <x:c r="F146" s="14" t="str">
        <x:v>宠主</x:v>
      </x:c>
      <x:c r="G146" s="14" t="str">
        <x:v>规则</x:v>
      </x:c>
      <x:c r="H146" s="14" t="str">
        <x:v>规则为主</x:v>
      </x:c>
      <x:c r="I146" s="14" t="str">
        <x:v>ServiceIncidentEscalated</x:v>
      </x:c>
      <x:c r="J146" s="14" t="str"/>
      <x:c r="K146" s="14" t="str">
        <x:v>v1.0</x:v>
      </x:c>
      <x:c r="L146" s="14" t="str">
        <x:v>P2</x:v>
      </x:c>
      <x:c r="M146" s="14" t="n">
        <x:v>1</x:v>
      </x:c>
      <x:c r="N146" s="14" t="n">
        <x:v>5</x:v>
      </x:c>
      <x:c r="O146" s="14" t="n">
        <x:v>5</x:v>
      </x:c>
      <x:c r="P146" s="14" t="n">
        <x:v>4</x:v>
      </x:c>
      <x:c r="Q146" s="14" t="n">
        <x:v>4</x:v>
      </x:c>
      <x:c r="R146" s="14" t="n">
        <x:v>5</x:v>
      </x:c>
      <x:c r="S146" s="14" t="n">
        <x:f>ROUND(0.22*M146+0.28*N146+0.20*O146+0.15*P146+0.08*(6-Q146)+0.07*(6-R146),2)</x:f>
        <x:v>3.45</x:v>
      </x:c>
      <x:c r="T146" s="14" t="str">
        <x:v>高</x:v>
      </x:c>
      <x:c r="U146" s="25"/>
      <x:c r="V146" s="25"/>
      <x:c r="W146" s="25"/>
      <x:c r="X146" s="25"/>
      <x:c r="Y146" s="25"/>
      <x:c r="Z146" s="25"/>
    </x:row>
    <x:row r="147">
      <x:c r="A147" s="14" t="str">
        <x:v>PLI-146</x:v>
      </x:c>
      <x:c r="B147" s="14" t="str">
        <x:v>10 Care Services</x:v>
      </x:c>
      <x:c r="C147" s="14" t="str">
        <x:v>After</x:v>
      </x:c>
      <x:c r="D147" s="14" t="str">
        <x:v>服务结束总结</x:v>
      </x:c>
      <x:c r="E147" s="14" t="str">
        <x:v>生成完成度、适应、异常和实际照护记录。</x:v>
      </x:c>
      <x:c r="F147" s="14" t="str">
        <x:v>宠主</x:v>
      </x:c>
      <x:c r="G147" s="14" t="str">
        <x:v>摘要</x:v>
      </x:c>
      <x:c r="H147" s="14" t="str">
        <x:v>是</x:v>
      </x:c>
      <x:c r="I147" s="14" t="str">
        <x:v>ServiceOutcome</x:v>
      </x:c>
      <x:c r="J147" s="14" t="str"/>
      <x:c r="K147" s="14" t="str">
        <x:v>v1.0</x:v>
      </x:c>
      <x:c r="L147" s="14" t="str">
        <x:v>P2</x:v>
      </x:c>
      <x:c r="M147" s="14" t="n">
        <x:v>2</x:v>
      </x:c>
      <x:c r="N147" s="14" t="n">
        <x:v>5</x:v>
      </x:c>
      <x:c r="O147" s="14" t="n">
        <x:v>5</x:v>
      </x:c>
      <x:c r="P147" s="14" t="n">
        <x:v>4</x:v>
      </x:c>
      <x:c r="Q147" s="14" t="n">
        <x:v>3</x:v>
      </x:c>
      <x:c r="R147" s="14" t="n">
        <x:v>2</x:v>
      </x:c>
      <x:c r="S147" s="14" t="n">
        <x:f>ROUND(0.22*M147+0.28*N147+0.20*O147+0.15*P147+0.08*(6-Q147)+0.07*(6-R147),2)</x:f>
        <x:v>3.96</x:v>
      </x:c>
      <x:c r="T147" s="14" t="str">
        <x:v>低</x:v>
      </x:c>
      <x:c r="U147" s="25"/>
      <x:c r="V147" s="25"/>
      <x:c r="W147" s="25"/>
      <x:c r="X147" s="25"/>
      <x:c r="Y147" s="25"/>
      <x:c r="Z147" s="25"/>
    </x:row>
    <x:row r="148">
      <x:c r="A148" s="14" t="str">
        <x:v>PLI-147</x:v>
      </x:c>
      <x:c r="B148" s="14" t="str">
        <x:v>10 Care Services</x:v>
      </x:c>
      <x:c r="C148" s="14" t="str">
        <x:v>Learning</x:v>
      </x:c>
      <x:c r="D148" s="14" t="str">
        <x:v>服务偏好学习</x:v>
      </x:c>
      <x:c r="E148" s="14" t="str">
        <x:v>从多次寄养/遛狗结果学习环境与照护者偏好。</x:v>
      </x:c>
      <x:c r="F148" s="14" t="str">
        <x:v>宠主</x:v>
      </x:c>
      <x:c r="G148" s="14" t="str">
        <x:v>偏好学习</x:v>
      </x:c>
      <x:c r="H148" s="14" t="str">
        <x:v>是</x:v>
      </x:c>
      <x:c r="I148" s="14" t="str">
        <x:v>ServicePreferenceUpdated</x:v>
      </x:c>
      <x:c r="J148" s="14" t="str"/>
      <x:c r="K148" s="14" t="str">
        <x:v>Future</x:v>
      </x:c>
      <x:c r="L148" s="14" t="str">
        <x:v>Future</x:v>
      </x:c>
      <x:c r="M148" s="14" t="n">
        <x:v>2</x:v>
      </x:c>
      <x:c r="N148" s="14" t="n">
        <x:v>4</x:v>
      </x:c>
      <x:c r="O148" s="14" t="n">
        <x:v>5</x:v>
      </x:c>
      <x:c r="P148" s="14" t="n">
        <x:v>4</x:v>
      </x:c>
      <x:c r="Q148" s="14" t="n">
        <x:v>4</x:v>
      </x:c>
      <x:c r="R148" s="14" t="n">
        <x:v>2</x:v>
      </x:c>
      <x:c r="S148" s="14" t="n">
        <x:f>ROUND(0.22*M148+0.28*N148+0.20*O148+0.15*P148+0.08*(6-Q148)+0.07*(6-R148),2)</x:f>
        <x:v>3.6</x:v>
      </x:c>
      <x:c r="T148" s="14" t="str">
        <x:v>低</x:v>
      </x:c>
      <x:c r="U148" s="25"/>
      <x:c r="V148" s="25"/>
      <x:c r="W148" s="25"/>
      <x:c r="X148" s="25"/>
      <x:c r="Y148" s="25"/>
      <x:c r="Z148" s="25"/>
    </x:row>
    <x:row r="149">
      <x:c r="A149" s="14" t="str">
        <x:v>PLI-148</x:v>
      </x:c>
      <x:c r="B149" s="14" t="str">
        <x:v>10 Care Services</x:v>
      </x:c>
      <x:c r="C149" s="14" t="str">
        <x:v>Quality</x:v>
      </x:c>
      <x:c r="D149" s="14" t="str">
        <x:v>评价拆分</x:v>
      </x:c>
      <x:c r="E149" s="14" t="str">
        <x:v>把准时、执行准确、宠物适应、安全、沟通分别评价，而非单一五星。</x:v>
      </x:c>
      <x:c r="F149" s="14" t="str">
        <x:v>宠主</x:v>
      </x:c>
      <x:c r="G149" s="14" t="str">
        <x:v>无/规则</x:v>
      </x:c>
      <x:c r="H149" s="14" t="str">
        <x:v>否</x:v>
      </x:c>
      <x:c r="I149" s="14" t="str">
        <x:v>ServiceReview</x:v>
      </x:c>
      <x:c r="J149" s="14" t="str"/>
      <x:c r="K149" s="14" t="str">
        <x:v>v1.0</x:v>
      </x:c>
      <x:c r="L149" s="14" t="str">
        <x:v>P2</x:v>
      </x:c>
      <x:c r="M149" s="14" t="n">
        <x:v>2</x:v>
      </x:c>
      <x:c r="N149" s="14" t="n">
        <x:v>4</x:v>
      </x:c>
      <x:c r="O149" s="14" t="n">
        <x:v>4</x:v>
      </x:c>
      <x:c r="P149" s="14" t="n">
        <x:v>4</x:v>
      </x:c>
      <x:c r="Q149" s="14" t="n">
        <x:v>3</x:v>
      </x:c>
      <x:c r="R149" s="14" t="n">
        <x:v>2</x:v>
      </x:c>
      <x:c r="S149" s="14" t="n">
        <x:f>ROUND(0.22*M149+0.28*N149+0.20*O149+0.15*P149+0.08*(6-Q149)+0.07*(6-R149),2)</x:f>
        <x:v>3.48</x:v>
      </x:c>
      <x:c r="T149" s="14" t="str">
        <x:v>低</x:v>
      </x:c>
      <x:c r="U149" s="25"/>
      <x:c r="V149" s="25"/>
      <x:c r="W149" s="25"/>
      <x:c r="X149" s="25"/>
      <x:c r="Y149" s="25"/>
      <x:c r="Z149" s="25"/>
    </x:row>
    <x:row r="150">
      <x:c r="A150" s="14" t="str">
        <x:v>PLI-149</x:v>
      </x:c>
      <x:c r="B150" s="14" t="str">
        <x:v>10 Care Services</x:v>
      </x:c>
      <x:c r="C150" s="14" t="str">
        <x:v>Trust</x:v>
      </x:c>
      <x:c r="D150" s="14" t="str">
        <x:v>服务者资质/身份</x:v>
      </x:c>
      <x:c r="E150" s="14" t="str">
        <x:v>记录验证状态、资质、保险、专业能力和适配范围。</x:v>
      </x:c>
      <x:c r="F150" s="14" t="str">
        <x:v>宠主</x:v>
      </x:c>
      <x:c r="G150" s="14" t="str">
        <x:v>无/规则</x:v>
      </x:c>
      <x:c r="H150" s="14" t="str">
        <x:v>否</x:v>
      </x:c>
      <x:c r="I150" s="14" t="str">
        <x:v>ProviderCredentialVerified</x:v>
      </x:c>
      <x:c r="J150" s="14" t="str"/>
      <x:c r="K150" s="14" t="str">
        <x:v>v1.0</x:v>
      </x:c>
      <x:c r="L150" s="14" t="str">
        <x:v>P2</x:v>
      </x:c>
      <x:c r="M150" s="14" t="n">
        <x:v>1</x:v>
      </x:c>
      <x:c r="N150" s="14" t="n">
        <x:v>5</x:v>
      </x:c>
      <x:c r="O150" s="14" t="n">
        <x:v>3</x:v>
      </x:c>
      <x:c r="P150" s="14" t="n">
        <x:v>5</x:v>
      </x:c>
      <x:c r="Q150" s="14" t="n">
        <x:v>4</x:v>
      </x:c>
      <x:c r="R150" s="14" t="n">
        <x:v>4</x:v>
      </x:c>
      <x:c r="S150" s="14" t="n">
        <x:f>ROUND(0.22*M150+0.28*N150+0.20*O150+0.15*P150+0.08*(6-Q150)+0.07*(6-R150),2)</x:f>
        <x:v>3.27</x:v>
      </x:c>
      <x:c r="T150" s="14" t="str">
        <x:v>中</x:v>
      </x:c>
      <x:c r="U150" s="25"/>
      <x:c r="V150" s="25"/>
      <x:c r="W150" s="25"/>
      <x:c r="X150" s="25"/>
      <x:c r="Y150" s="25"/>
      <x:c r="Z150" s="25"/>
    </x:row>
    <x:row r="151">
      <x:c r="A151" s="14" t="str">
        <x:v>PLI-150</x:v>
      </x:c>
      <x:c r="B151" s="14" t="str">
        <x:v>10 Care Services</x:v>
      </x:c>
      <x:c r="C151" s="14" t="str">
        <x:v>Payments</x:v>
      </x:c>
      <x:c r="D151" s="14" t="str">
        <x:v>服务支付状态</x:v>
      </x:c>
      <x:c r="E151" s="14" t="str">
        <x:v>保留订单、退款、取消、分账状态；高风险资金操作单独授权。</x:v>
      </x:c>
      <x:c r="F151" s="14" t="str">
        <x:v>宠主</x:v>
      </x:c>
      <x:c r="G151" s="14" t="str">
        <x:v>无/规则</x:v>
      </x:c>
      <x:c r="H151" s="14" t="str">
        <x:v>否</x:v>
      </x:c>
      <x:c r="I151" s="14" t="str">
        <x:v>ServicePaymentEvent</x:v>
      </x:c>
      <x:c r="J151" s="14" t="str"/>
      <x:c r="K151" s="14" t="str">
        <x:v>Future</x:v>
      </x:c>
      <x:c r="L151" s="14" t="str">
        <x:v>Future</x:v>
      </x:c>
      <x:c r="M151" s="14" t="n">
        <x:v>2</x:v>
      </x:c>
      <x:c r="N151" s="14" t="n">
        <x:v>4</x:v>
      </x:c>
      <x:c r="O151" s="14" t="n">
        <x:v>3</x:v>
      </x:c>
      <x:c r="P151" s="14" t="n">
        <x:v>5</x:v>
      </x:c>
      <x:c r="Q151" s="14" t="n">
        <x:v>5</x:v>
      </x:c>
      <x:c r="R151" s="14" t="n">
        <x:v>5</x:v>
      </x:c>
      <x:c r="S151" s="14" t="n">
        <x:f>ROUND(0.22*M151+0.28*N151+0.20*O151+0.15*P151+0.08*(6-Q151)+0.07*(6-R151),2)</x:f>
        <x:v>3.06</x:v>
      </x:c>
      <x:c r="T151" s="14" t="str">
        <x:v>高</x:v>
      </x:c>
      <x:c r="U151" s="25"/>
      <x:c r="V151" s="25"/>
      <x:c r="W151" s="25"/>
      <x:c r="X151" s="25"/>
      <x:c r="Y151" s="25"/>
      <x:c r="Z151" s="25"/>
    </x:row>
    <x:row r="152">
      <x:c r="A152" s="14" t="str">
        <x:v>PLI-151</x:v>
      </x:c>
      <x:c r="B152" s="14" t="str">
        <x:v>10 Care Services</x:v>
      </x:c>
      <x:c r="C152" s="14" t="str">
        <x:v>Professional</x:v>
      </x:c>
      <x:c r="D152" s="14" t="str">
        <x:v>专业服务记录回流</x:v>
      </x:c>
      <x:c r="E152" s="14" t="str">
        <x:v>训练、美容、康复等专业服务结果进入Timeline并标记来源。</x:v>
      </x:c>
      <x:c r="F152" s="14" t="str">
        <x:v>宠主</x:v>
      </x:c>
      <x:c r="G152" s="14" t="str">
        <x:v>无/规则</x:v>
      </x:c>
      <x:c r="H152" s="14" t="str">
        <x:v>否</x:v>
      </x:c>
      <x:c r="I152" s="14" t="str">
        <x:v>ProfessionalServiceRecord</x:v>
      </x:c>
      <x:c r="J152" s="14" t="str"/>
      <x:c r="K152" s="14" t="str">
        <x:v>v1.0</x:v>
      </x:c>
      <x:c r="L152" s="14" t="str">
        <x:v>P2</x:v>
      </x:c>
      <x:c r="M152" s="14" t="n">
        <x:v>2</x:v>
      </x:c>
      <x:c r="N152" s="14" t="n">
        <x:v>5</x:v>
      </x:c>
      <x:c r="O152" s="14" t="n">
        <x:v>5</x:v>
      </x:c>
      <x:c r="P152" s="14" t="n">
        <x:v>4</x:v>
      </x:c>
      <x:c r="Q152" s="14" t="n">
        <x:v>3</x:v>
      </x:c>
      <x:c r="R152" s="14" t="n">
        <x:v>3</x:v>
      </x:c>
      <x:c r="S152" s="14" t="n">
        <x:f>ROUND(0.22*M152+0.28*N152+0.20*O152+0.15*P152+0.08*(6-Q152)+0.07*(6-R152),2)</x:f>
        <x:v>3.89</x:v>
      </x:c>
      <x:c r="T152" s="14" t="str">
        <x:v>低</x:v>
      </x:c>
      <x:c r="U152" s="25"/>
      <x:c r="V152" s="25"/>
      <x:c r="W152" s="25"/>
      <x:c r="X152" s="25"/>
      <x:c r="Y152" s="25"/>
      <x:c r="Z152" s="25"/>
    </x:row>
    <x:row r="153">
      <x:c r="A153" s="14" t="str">
        <x:v>PLI-152</x:v>
      </x:c>
      <x:c r="B153" s="14" t="str">
        <x:v>10 Care Services</x:v>
      </x:c>
      <x:c r="C153" s="14" t="str">
        <x:v>Marketplace Governance</x:v>
      </x:c>
      <x:c r="D153" s="14" t="str">
        <x:v>纠纷与事故记录</x:v>
      </x:c>
      <x:c r="E153" s="14" t="str">
        <x:v>服务事故、未执行任务、伤害等进入专门处理流程。</x:v>
      </x:c>
      <x:c r="F153" s="14" t="str">
        <x:v>宠主</x:v>
      </x:c>
      <x:c r="G153" s="14" t="str">
        <x:v>无/规则</x:v>
      </x:c>
      <x:c r="H153" s="14" t="str">
        <x:v>否</x:v>
      </x:c>
      <x:c r="I153" s="14" t="str">
        <x:v>ServiceDisputeOpened</x:v>
      </x:c>
      <x:c r="J153" s="14" t="str"/>
      <x:c r="K153" s="14" t="str">
        <x:v>Future</x:v>
      </x:c>
      <x:c r="L153" s="14" t="str">
        <x:v>Future</x:v>
      </x:c>
      <x:c r="M153" s="14" t="n">
        <x:v>1</x:v>
      </x:c>
      <x:c r="N153" s="14" t="n">
        <x:v>5</x:v>
      </x:c>
      <x:c r="O153" s="14" t="n">
        <x:v>4</x:v>
      </x:c>
      <x:c r="P153" s="14" t="n">
        <x:v>4</x:v>
      </x:c>
      <x:c r="Q153" s="14" t="n">
        <x:v>5</x:v>
      </x:c>
      <x:c r="R153" s="14" t="n">
        <x:v>5</x:v>
      </x:c>
      <x:c r="S153" s="14" t="n">
        <x:f>ROUND(0.22*M153+0.28*N153+0.20*O153+0.15*P153+0.08*(6-Q153)+0.07*(6-R153),2)</x:f>
        <x:v>3.17</x:v>
      </x:c>
      <x:c r="T153" s="14" t="str">
        <x:v>高</x:v>
      </x:c>
      <x:c r="U153" s="25"/>
      <x:c r="V153" s="25"/>
      <x:c r="W153" s="25"/>
      <x:c r="X153" s="25"/>
      <x:c r="Y153" s="25"/>
      <x:c r="Z153" s="25"/>
    </x:row>
    <x:row r="154">
      <x:c r="A154" s="14" t="str">
        <x:v>PLI-153</x:v>
      </x:c>
      <x:c r="B154" s="14" t="str">
        <x:v>11 Adoption &amp; Rescue</x:v>
      </x:c>
      <x:c r="C154" s="14" t="str">
        <x:v>Intake</x:v>
      </x:c>
      <x:c r="D154" s="14" t="str">
        <x:v>救助/收容档案导入</x:v>
      </x:c>
      <x:c r="E154" s="14" t="str">
        <x:v>建立来源、健康、行为、饮食、芯片、绝育等基础信息。</x:v>
      </x:c>
      <x:c r="F154" s="14" t="str">
        <x:v>宠主</x:v>
      </x:c>
      <x:c r="G154" s="14" t="str">
        <x:v>无/规则</x:v>
      </x:c>
      <x:c r="H154" s="14" t="str">
        <x:v>否</x:v>
      </x:c>
      <x:c r="I154" s="14" t="str">
        <x:v>RescueIntake</x:v>
      </x:c>
      <x:c r="J154" s="14" t="str"/>
      <x:c r="K154" s="14" t="str">
        <x:v>Future</x:v>
      </x:c>
      <x:c r="L154" s="14" t="str">
        <x:v>Future</x:v>
      </x:c>
      <x:c r="M154" s="14" t="n">
        <x:v>1</x:v>
      </x:c>
      <x:c r="N154" s="14" t="n">
        <x:v>5</x:v>
      </x:c>
      <x:c r="O154" s="14" t="n">
        <x:v>5</x:v>
      </x:c>
      <x:c r="P154" s="14" t="n">
        <x:v>3</x:v>
      </x:c>
      <x:c r="Q154" s="14" t="n">
        <x:v>4</x:v>
      </x:c>
      <x:c r="R154" s="14" t="n">
        <x:v>3</x:v>
      </x:c>
      <x:c r="S154" s="14" t="n">
        <x:f>ROUND(0.22*M154+0.28*N154+0.20*O154+0.15*P154+0.08*(6-Q154)+0.07*(6-R154),2)</x:f>
        <x:v>3.44</x:v>
      </x:c>
      <x:c r="T154" s="14" t="str">
        <x:v>低</x:v>
      </x:c>
      <x:c r="U154" s="25"/>
      <x:c r="V154" s="25"/>
      <x:c r="W154" s="25"/>
      <x:c r="X154" s="25"/>
      <x:c r="Y154" s="25"/>
      <x:c r="Z154" s="25"/>
    </x:row>
    <x:row r="155">
      <x:c r="A155" s="14" t="str">
        <x:v>PLI-154</x:v>
      </x:c>
      <x:c r="B155" s="14" t="str">
        <x:v>11 Adoption &amp; Rescue</x:v>
      </x:c>
      <x:c r="C155" s="14" t="str">
        <x:v>Foster</x:v>
      </x:c>
      <x:c r="D155" s="14" t="str">
        <x:v>寄养观察记录</x:v>
      </x:c>
      <x:c r="E155" s="14" t="str">
        <x:v>寄养家庭持续记录真实家庭环境下的行为、作息和适应情况。</x:v>
      </x:c>
      <x:c r="F155" s="14" t="str">
        <x:v>宠主</x:v>
      </x:c>
      <x:c r="G155" s="14" t="str">
        <x:v>无/规则</x:v>
      </x:c>
      <x:c r="H155" s="14" t="str">
        <x:v>否</x:v>
      </x:c>
      <x:c r="I155" s="14" t="str">
        <x:v>FosterObservation</x:v>
      </x:c>
      <x:c r="J155" s="14" t="str"/>
      <x:c r="K155" s="14" t="str">
        <x:v>Future</x:v>
      </x:c>
      <x:c r="L155" s="14" t="str">
        <x:v>Future</x:v>
      </x:c>
      <x:c r="M155" s="14" t="n">
        <x:v>2</x:v>
      </x:c>
      <x:c r="N155" s="14" t="n">
        <x:v>5</x:v>
      </x:c>
      <x:c r="O155" s="14" t="n">
        <x:v>5</x:v>
      </x:c>
      <x:c r="P155" s="14" t="n">
        <x:v>3</x:v>
      </x:c>
      <x:c r="Q155" s="14" t="n">
        <x:v>3</x:v>
      </x:c>
      <x:c r="R155" s="14" t="n">
        <x:v>2</x:v>
      </x:c>
      <x:c r="S155" s="14" t="n">
        <x:f>ROUND(0.22*M155+0.28*N155+0.20*O155+0.15*P155+0.08*(6-Q155)+0.07*(6-R155),2)</x:f>
        <x:v>3.81</x:v>
      </x:c>
      <x:c r="T155" s="14" t="str">
        <x:v>低</x:v>
      </x:c>
      <x:c r="U155" s="25"/>
      <x:c r="V155" s="25"/>
      <x:c r="W155" s="25"/>
      <x:c r="X155" s="25"/>
      <x:c r="Y155" s="25"/>
      <x:c r="Z155" s="25"/>
    </x:row>
    <x:row r="156">
      <x:c r="A156" s="14" t="str">
        <x:v>PLI-155</x:v>
      </x:c>
      <x:c r="B156" s="14" t="str">
        <x:v>11 Adoption &amp; Rescue</x:v>
      </x:c>
      <x:c r="C156" s="14" t="str">
        <x:v>Adopter Profile</x:v>
      </x:c>
      <x:c r="D156" s="14" t="str">
        <x:v>领养家庭画像</x:v>
      </x:c>
      <x:c r="E156" s="14" t="str">
        <x:v>记录生活节奏、儿童、已有宠物、养宠经验、照护时间和限制。</x:v>
      </x:c>
      <x:c r="F156" s="14" t="str">
        <x:v>宠主</x:v>
      </x:c>
      <x:c r="G156" s="14" t="str">
        <x:v>无/规则</x:v>
      </x:c>
      <x:c r="H156" s="14" t="str">
        <x:v>否</x:v>
      </x:c>
      <x:c r="I156" s="14" t="str">
        <x:v>AdopterProfileCreated</x:v>
      </x:c>
      <x:c r="J156" s="14" t="str"/>
      <x:c r="K156" s="14" t="str">
        <x:v>Future</x:v>
      </x:c>
      <x:c r="L156" s="14" t="str">
        <x:v>Future</x:v>
      </x:c>
      <x:c r="M156" s="14" t="n">
        <x:v>1</x:v>
      </x:c>
      <x:c r="N156" s="14" t="n">
        <x:v>4</x:v>
      </x:c>
      <x:c r="O156" s="14" t="n">
        <x:v>4</x:v>
      </x:c>
      <x:c r="P156" s="14" t="n">
        <x:v>3</x:v>
      </x:c>
      <x:c r="Q156" s="14" t="n">
        <x:v>4</x:v>
      </x:c>
      <x:c r="R156" s="14" t="n">
        <x:v>3</x:v>
      </x:c>
      <x:c r="S156" s="14" t="n">
        <x:f>ROUND(0.22*M156+0.28*N156+0.20*O156+0.15*P156+0.08*(6-Q156)+0.07*(6-R156),2)</x:f>
        <x:v>2.96</x:v>
      </x:c>
      <x:c r="T156" s="14" t="str">
        <x:v>中</x:v>
      </x:c>
      <x:c r="U156" s="25"/>
      <x:c r="V156" s="25"/>
      <x:c r="W156" s="25"/>
      <x:c r="X156" s="25"/>
      <x:c r="Y156" s="25"/>
      <x:c r="Z156" s="25"/>
    </x:row>
    <x:row r="157">
      <x:c r="A157" s="14" t="str">
        <x:v>PLI-156</x:v>
      </x:c>
      <x:c r="B157" s="14" t="str">
        <x:v>11 Adoption &amp; Rescue</x:v>
      </x:c>
      <x:c r="C157" s="14" t="str">
        <x:v>Matching</x:v>
      </x:c>
      <x:c r="D157" s="14" t="str">
        <x:v>解释型领养匹配</x:v>
      </x:c>
      <x:c r="E157" s="14" t="str">
        <x:v>用约束与可解释排序辅助匹配，不承诺“命中注定”。</x:v>
      </x:c>
      <x:c r="F157" s="14" t="str">
        <x:v>宠主</x:v>
      </x:c>
      <x:c r="G157" s="14" t="str">
        <x:v>排序/匹配</x:v>
      </x:c>
      <x:c r="H157" s="14" t="str">
        <x:v>是</x:v>
      </x:c>
      <x:c r="I157" s="14" t="str">
        <x:v>AdoptionRecommendation</x:v>
      </x:c>
      <x:c r="J157" s="14" t="str"/>
      <x:c r="K157" s="14" t="str">
        <x:v>Future</x:v>
      </x:c>
      <x:c r="L157" s="14" t="str">
        <x:v>Future</x:v>
      </x:c>
      <x:c r="M157" s="14" t="n">
        <x:v>1</x:v>
      </x:c>
      <x:c r="N157" s="14" t="n">
        <x:v>5</x:v>
      </x:c>
      <x:c r="O157" s="14" t="n">
        <x:v>5</x:v>
      </x:c>
      <x:c r="P157" s="14" t="n">
        <x:v>4</x:v>
      </x:c>
      <x:c r="Q157" s="14" t="n">
        <x:v>5</x:v>
      </x:c>
      <x:c r="R157" s="14" t="n">
        <x:v>4</x:v>
      </x:c>
      <x:c r="S157" s="14" t="n">
        <x:f>ROUND(0.22*M157+0.28*N157+0.20*O157+0.15*P157+0.08*(6-Q157)+0.07*(6-R157),2)</x:f>
        <x:v>3.44</x:v>
      </x:c>
      <x:c r="T157" s="14" t="str">
        <x:v>中</x:v>
      </x:c>
      <x:c r="U157" s="25"/>
      <x:c r="V157" s="25"/>
      <x:c r="W157" s="25"/>
      <x:c r="X157" s="25"/>
      <x:c r="Y157" s="25"/>
      <x:c r="Z157" s="25"/>
    </x:row>
    <x:row r="158">
      <x:c r="A158" s="14" t="str">
        <x:v>PLI-157</x:v>
      </x:c>
      <x:c r="B158" s="14" t="str">
        <x:v>11 Adoption &amp; Rescue</x:v>
      </x:c>
      <x:c r="C158" s="14" t="str">
        <x:v>Meet</x:v>
      </x:c>
      <x:c r="D158" s="14" t="str">
        <x:v>见面/试养记录</x:v>
      </x:c>
      <x:c r="E158" s="14" t="str">
        <x:v>记录真实互动、家庭成员反馈和试养期间适应。</x:v>
      </x:c>
      <x:c r="F158" s="14" t="str">
        <x:v>宠主</x:v>
      </x:c>
      <x:c r="G158" s="14" t="str">
        <x:v>无/规则</x:v>
      </x:c>
      <x:c r="H158" s="14" t="str">
        <x:v>否</x:v>
      </x:c>
      <x:c r="I158" s="14" t="str">
        <x:v>AdoptionTrialEvent</x:v>
      </x:c>
      <x:c r="J158" s="14" t="str"/>
      <x:c r="K158" s="14" t="str">
        <x:v>Future</x:v>
      </x:c>
      <x:c r="L158" s="14" t="str">
        <x:v>Future</x:v>
      </x:c>
      <x:c r="M158" s="14" t="n">
        <x:v>1</x:v>
      </x:c>
      <x:c r="N158" s="14" t="n">
        <x:v>5</x:v>
      </x:c>
      <x:c r="O158" s="14" t="n">
        <x:v>5</x:v>
      </x:c>
      <x:c r="P158" s="14" t="n">
        <x:v>3</x:v>
      </x:c>
      <x:c r="Q158" s="14" t="n">
        <x:v>3</x:v>
      </x:c>
      <x:c r="R158" s="14" t="n">
        <x:v>2</x:v>
      </x:c>
      <x:c r="S158" s="14" t="n">
        <x:f>ROUND(0.22*M158+0.28*N158+0.20*O158+0.15*P158+0.08*(6-Q158)+0.07*(6-R158),2)</x:f>
        <x:v>3.59</x:v>
      </x:c>
      <x:c r="T158" s="14" t="str">
        <x:v>低</x:v>
      </x:c>
      <x:c r="U158" s="25"/>
      <x:c r="V158" s="25"/>
      <x:c r="W158" s="25"/>
      <x:c r="X158" s="25"/>
      <x:c r="Y158" s="25"/>
      <x:c r="Z158" s="25"/>
    </x:row>
    <x:row r="159">
      <x:c r="A159" s="14" t="str">
        <x:v>PLI-158</x:v>
      </x:c>
      <x:c r="B159" s="14" t="str">
        <x:v>11 Adoption &amp; Rescue</x:v>
      </x:c>
      <x:c r="C159" s="14" t="str">
        <x:v>Transfer</x:v>
      </x:c>
      <x:c r="D159" s="14" t="str">
        <x:v>领养后身份转移</x:v>
      </x:c>
      <x:c r="E159" s="14" t="str">
        <x:v>在组织与领养人双方确认后转移Pet ID控制权并保留来源历史。</x:v>
      </x:c>
      <x:c r="F159" s="14" t="str">
        <x:v>宠主</x:v>
      </x:c>
      <x:c r="G159" s="14" t="str">
        <x:v>无/规则</x:v>
      </x:c>
      <x:c r="H159" s="14" t="str">
        <x:v>否</x:v>
      </x:c>
      <x:c r="I159" s="14" t="str">
        <x:v>OwnershipTransferred</x:v>
      </x:c>
      <x:c r="J159" s="14" t="str"/>
      <x:c r="K159" s="14" t="str">
        <x:v>Future</x:v>
      </x:c>
      <x:c r="L159" s="14" t="str">
        <x:v>Future</x:v>
      </x:c>
      <x:c r="M159" s="14" t="n">
        <x:v>1</x:v>
      </x:c>
      <x:c r="N159" s="14" t="n">
        <x:v>5</x:v>
      </x:c>
      <x:c r="O159" s="14" t="n">
        <x:v>5</x:v>
      </x:c>
      <x:c r="P159" s="14" t="n">
        <x:v>2</x:v>
      </x:c>
      <x:c r="Q159" s="14" t="n">
        <x:v>4</x:v>
      </x:c>
      <x:c r="R159" s="14" t="n">
        <x:v>5</x:v>
      </x:c>
      <x:c r="S159" s="14" t="n">
        <x:f>ROUND(0.22*M159+0.28*N159+0.20*O159+0.15*P159+0.08*(6-Q159)+0.07*(6-R159),2)</x:f>
        <x:v>3.15</x:v>
      </x:c>
      <x:c r="T159" s="14" t="str">
        <x:v>高</x:v>
      </x:c>
      <x:c r="U159" s="25"/>
      <x:c r="V159" s="25"/>
      <x:c r="W159" s="25"/>
      <x:c r="X159" s="25"/>
      <x:c r="Y159" s="25"/>
      <x:c r="Z159" s="25"/>
    </x:row>
    <x:row r="160">
      <x:c r="A160" s="14" t="str">
        <x:v>PLI-159</x:v>
      </x:c>
      <x:c r="B160" s="14" t="str">
        <x:v>11 Adoption &amp; Rescue</x:v>
      </x:c>
      <x:c r="C160" s="14" t="str">
        <x:v>Transition</x:v>
      </x:c>
      <x:c r="D160" s="14" t="str">
        <x:v>30/90/180天适应跟踪</x:v>
      </x:c>
      <x:c r="E160" s="14" t="str">
        <x:v>自动发起适应、健康、行为、照护困难和退养风险随访。</x:v>
      </x:c>
      <x:c r="F160" s="14" t="str">
        <x:v>宠主</x:v>
      </x:c>
      <x:c r="G160" s="14" t="str">
        <x:v>无/规则</x:v>
      </x:c>
      <x:c r="H160" s="14" t="str">
        <x:v>否</x:v>
      </x:c>
      <x:c r="I160" s="14" t="str">
        <x:v>AdoptionFollowup</x:v>
      </x:c>
      <x:c r="J160" s="14" t="str"/>
      <x:c r="K160" s="14" t="str">
        <x:v>Future</x:v>
      </x:c>
      <x:c r="L160" s="14" t="str">
        <x:v>Future</x:v>
      </x:c>
      <x:c r="M160" s="14" t="n">
        <x:v>2</x:v>
      </x:c>
      <x:c r="N160" s="14" t="n">
        <x:v>5</x:v>
      </x:c>
      <x:c r="O160" s="14" t="n">
        <x:v>5</x:v>
      </x:c>
      <x:c r="P160" s="14" t="n">
        <x:v>3</x:v>
      </x:c>
      <x:c r="Q160" s="14" t="n">
        <x:v>4</x:v>
      </x:c>
      <x:c r="R160" s="14" t="n">
        <x:v>3</x:v>
      </x:c>
      <x:c r="S160" s="14" t="n">
        <x:f>ROUND(0.22*M160+0.28*N160+0.20*O160+0.15*P160+0.08*(6-Q160)+0.07*(6-R160),2)</x:f>
        <x:v>3.66</x:v>
      </x:c>
      <x:c r="T160" s="14" t="str">
        <x:v>低</x:v>
      </x:c>
      <x:c r="U160" s="25"/>
      <x:c r="V160" s="25"/>
      <x:c r="W160" s="25"/>
      <x:c r="X160" s="25"/>
      <x:c r="Y160" s="25"/>
      <x:c r="Z160" s="25"/>
    </x:row>
    <x:row r="161">
      <x:c r="A161" s="14" t="str">
        <x:v>PLI-160</x:v>
      </x:c>
      <x:c r="B161" s="14" t="str">
        <x:v>11 Adoption &amp; Rescue</x:v>
      </x:c>
      <x:c r="C161" s="14" t="str">
        <x:v>Support</x:v>
      </x:c>
      <x:c r="D161" s="14" t="str">
        <x:v>领养后支持计划</x:v>
      </x:c>
      <x:c r="E161" s="14" t="str">
        <x:v>根据宠物已有档案生成最初30天照护与训练清单。</x:v>
      </x:c>
      <x:c r="F161" s="14" t="str">
        <x:v>宠主</x:v>
      </x:c>
      <x:c r="G161" s="14" t="str">
        <x:v>计划生成</x:v>
      </x:c>
      <x:c r="H161" s="14" t="str">
        <x:v>是</x:v>
      </x:c>
      <x:c r="I161" s="14" t="str">
        <x:v>AdoptionCarePlan</x:v>
      </x:c>
      <x:c r="J161" s="14" t="str"/>
      <x:c r="K161" s="14" t="str">
        <x:v>Future</x:v>
      </x:c>
      <x:c r="L161" s="14" t="str">
        <x:v>Future</x:v>
      </x:c>
      <x:c r="M161" s="14" t="n">
        <x:v>2</x:v>
      </x:c>
      <x:c r="N161" s="14" t="n">
        <x:v>4</x:v>
      </x:c>
      <x:c r="O161" s="14" t="n">
        <x:v>4</x:v>
      </x:c>
      <x:c r="P161" s="14" t="n">
        <x:v>3</x:v>
      </x:c>
      <x:c r="Q161" s="14" t="n">
        <x:v>4</x:v>
      </x:c>
      <x:c r="R161" s="14" t="n">
        <x:v>3</x:v>
      </x:c>
      <x:c r="S161" s="14" t="n">
        <x:f>ROUND(0.22*M161+0.28*N161+0.20*O161+0.15*P161+0.08*(6-Q161)+0.07*(6-R161),2)</x:f>
        <x:v>3.18</x:v>
      </x:c>
      <x:c r="T161" s="14" t="str">
        <x:v>低</x:v>
      </x:c>
      <x:c r="U161" s="25"/>
      <x:c r="V161" s="25"/>
      <x:c r="W161" s="25"/>
      <x:c r="X161" s="25"/>
      <x:c r="Y161" s="25"/>
      <x:c r="Z161" s="25"/>
    </x:row>
    <x:row r="162">
      <x:c r="A162" s="14" t="str">
        <x:v>PLI-161</x:v>
      </x:c>
      <x:c r="B162" s="14" t="str">
        <x:v>11 Adoption &amp; Rescue</x:v>
      </x:c>
      <x:c r="C162" s="14" t="str">
        <x:v>Outcome</x:v>
      </x:c>
      <x:c r="D162" s="14" t="str">
        <x:v>稳定/退养Outcome</x:v>
      </x:c>
      <x:c r="E162" s="14" t="str">
        <x:v>记录稳定、再次转移、退养及原因，为未来匹配提供真实标签。</x:v>
      </x:c>
      <x:c r="F162" s="14" t="str">
        <x:v>宠主</x:v>
      </x:c>
      <x:c r="G162" s="14" t="str">
        <x:v>无/规则</x:v>
      </x:c>
      <x:c r="H162" s="14" t="str">
        <x:v>否</x:v>
      </x:c>
      <x:c r="I162" s="14" t="str">
        <x:v>AdoptionOutcome</x:v>
      </x:c>
      <x:c r="J162" s="14" t="str"/>
      <x:c r="K162" s="14" t="str">
        <x:v>Future</x:v>
      </x:c>
      <x:c r="L162" s="14" t="str">
        <x:v>Future</x:v>
      </x:c>
      <x:c r="M162" s="14" t="n">
        <x:v>1</x:v>
      </x:c>
      <x:c r="N162" s="14" t="n">
        <x:v>5</x:v>
      </x:c>
      <x:c r="O162" s="14" t="n">
        <x:v>5</x:v>
      </x:c>
      <x:c r="P162" s="14" t="n">
        <x:v>4</x:v>
      </x:c>
      <x:c r="Q162" s="14" t="n">
        <x:v>3</x:v>
      </x:c>
      <x:c r="R162" s="14" t="n">
        <x:v>4</x:v>
      </x:c>
      <x:c r="S162" s="14" t="n">
        <x:f>ROUND(0.22*M162+0.28*N162+0.20*O162+0.15*P162+0.08*(6-Q162)+0.07*(6-R162),2)</x:f>
        <x:v>3.6</x:v>
      </x:c>
      <x:c r="T162" s="14" t="str">
        <x:v>中</x:v>
      </x:c>
      <x:c r="U162" s="25"/>
      <x:c r="V162" s="25"/>
      <x:c r="W162" s="25"/>
      <x:c r="X162" s="25"/>
      <x:c r="Y162" s="25"/>
      <x:c r="Z162" s="25"/>
    </x:row>
    <x:row r="163">
      <x:c r="A163" s="14" t="str">
        <x:v>PLI-162</x:v>
      </x:c>
      <x:c r="B163" s="14" t="str">
        <x:v>11 Adoption &amp; Rescue</x:v>
      </x:c>
      <x:c r="C163" s="14" t="str">
        <x:v>Organization</x:v>
      </x:c>
      <x:c r="D163" s="14" t="str">
        <x:v>机构端批量管理</x:v>
      </x:c>
      <x:c r="E163" s="14" t="str">
        <x:v>为救助机构提供批量宠物、寄养和领养状态管理。</x:v>
      </x:c>
      <x:c r="F163" s="14" t="str">
        <x:v>宠主</x:v>
      </x:c>
      <x:c r="G163" s="14" t="str">
        <x:v>无/规则</x:v>
      </x:c>
      <x:c r="H163" s="14" t="str">
        <x:v>否</x:v>
      </x:c>
      <x:c r="I163" s="14" t="str">
        <x:v>OrgWorkflowEvent</x:v>
      </x:c>
      <x:c r="J163" s="14" t="str"/>
      <x:c r="K163" s="14" t="str">
        <x:v>Future</x:v>
      </x:c>
      <x:c r="L163" s="14" t="str">
        <x:v>Future</x:v>
      </x:c>
      <x:c r="M163" s="14" t="n">
        <x:v>2</x:v>
      </x:c>
      <x:c r="N163" s="14" t="n">
        <x:v>4</x:v>
      </x:c>
      <x:c r="O163" s="14" t="n">
        <x:v>4</x:v>
      </x:c>
      <x:c r="P163" s="14" t="n">
        <x:v>5</x:v>
      </x:c>
      <x:c r="Q163" s="14" t="n">
        <x:v>5</x:v>
      </x:c>
      <x:c r="R163" s="14" t="n">
        <x:v>3</x:v>
      </x:c>
      <x:c r="S163" s="14" t="n">
        <x:f>ROUND(0.22*M163+0.28*N163+0.20*O163+0.15*P163+0.08*(6-Q163)+0.07*(6-R163),2)</x:f>
        <x:v>3.4</x:v>
      </x:c>
      <x:c r="T163" s="14" t="str">
        <x:v>低</x:v>
      </x:c>
      <x:c r="U163" s="25"/>
      <x:c r="V163" s="25"/>
      <x:c r="W163" s="25"/>
      <x:c r="X163" s="25"/>
      <x:c r="Y163" s="25"/>
      <x:c r="Z163" s="25"/>
    </x:row>
    <x:row r="164">
      <x:c r="A164" s="14" t="str">
        <x:v>PLI-163</x:v>
      </x:c>
      <x:c r="B164" s="14" t="str">
        <x:v>12 Nutrition &amp; Commerce</x:v>
      </x:c>
      <x:c r="C164" s="14" t="str">
        <x:v>Nutrition Profile</x:v>
      </x:c>
      <x:c r="D164" s="14" t="str">
        <x:v>饮食档案</x:v>
      </x:c>
      <x:c r="E164" s="14" t="str">
        <x:v>记录主食、零食、禁忌、过敏/不耐受、目标体重和兽医饮食建议。</x:v>
      </x:c>
      <x:c r="F164" s="14" t="str">
        <x:v>宠主</x:v>
      </x:c>
      <x:c r="G164" s="14" t="str">
        <x:v>无/规则</x:v>
      </x:c>
      <x:c r="H164" s="14" t="str">
        <x:v>否</x:v>
      </x:c>
      <x:c r="I164" s="14" t="str">
        <x:v>NutritionProfileUpdated</x:v>
      </x:c>
      <x:c r="J164" s="14" t="str"/>
      <x:c r="K164" s="14" t="str">
        <x:v>v0.2</x:v>
      </x:c>
      <x:c r="L164" s="14" t="str">
        <x:v>P1</x:v>
      </x:c>
      <x:c r="M164" s="14" t="n">
        <x:v>4</x:v>
      </x:c>
      <x:c r="N164" s="14" t="n">
        <x:v>5</x:v>
      </x:c>
      <x:c r="O164" s="14" t="n">
        <x:v>5</x:v>
      </x:c>
      <x:c r="P164" s="14" t="n">
        <x:v>4</x:v>
      </x:c>
      <x:c r="Q164" s="14" t="n">
        <x:v>3</x:v>
      </x:c>
      <x:c r="R164" s="14" t="n">
        <x:v>2</x:v>
      </x:c>
      <x:c r="S164" s="14" t="n">
        <x:f>ROUND(0.22*M164+0.28*N164+0.20*O164+0.15*P164+0.08*(6-Q164)+0.07*(6-R164),2)</x:f>
        <x:v>4.4</x:v>
      </x:c>
      <x:c r="T164" s="14" t="str">
        <x:v>低</x:v>
      </x:c>
      <x:c r="U164" s="25"/>
      <x:c r="V164" s="25"/>
      <x:c r="W164" s="25"/>
      <x:c r="X164" s="25"/>
      <x:c r="Y164" s="25"/>
      <x:c r="Z164" s="25"/>
    </x:row>
    <x:row r="165">
      <x:c r="A165" s="14" t="str">
        <x:v>PLI-164</x:v>
      </x:c>
      <x:c r="B165" s="14" t="str">
        <x:v>12 Nutrition &amp; Commerce</x:v>
      </x:c>
      <x:c r="C165" s="14" t="str">
        <x:v>Food Log</x:v>
      </x:c>
      <x:c r="D165" s="14" t="str">
        <x:v>食品实际使用</x:v>
      </x:c>
      <x:c r="E165" s="14" t="str">
        <x:v>区分购买、开封、实际喂食和宠物是否吃完。</x:v>
      </x:c>
      <x:c r="F165" s="14" t="str">
        <x:v>宠主</x:v>
      </x:c>
      <x:c r="G165" s="14" t="str">
        <x:v>无/规则</x:v>
      </x:c>
      <x:c r="H165" s="14" t="str">
        <x:v>否</x:v>
      </x:c>
      <x:c r="I165" s="14" t="str">
        <x:v>ProductUseEvent</x:v>
      </x:c>
      <x:c r="J165" s="14" t="str"/>
      <x:c r="K165" s="14" t="str">
        <x:v>v1.0</x:v>
      </x:c>
      <x:c r="L165" s="14" t="str">
        <x:v>P2</x:v>
      </x:c>
      <x:c r="M165" s="14" t="n">
        <x:v>3</x:v>
      </x:c>
      <x:c r="N165" s="14" t="n">
        <x:v>4</x:v>
      </x:c>
      <x:c r="O165" s="14" t="n">
        <x:v>5</x:v>
      </x:c>
      <x:c r="P165" s="14" t="n">
        <x:v>4</x:v>
      </x:c>
      <x:c r="Q165" s="14" t="n">
        <x:v>3</x:v>
      </x:c>
      <x:c r="R165" s="14" t="n">
        <x:v>1</x:v>
      </x:c>
      <x:c r="S165" s="14" t="n">
        <x:f>ROUND(0.22*M165+0.28*N165+0.20*O165+0.15*P165+0.08*(6-Q165)+0.07*(6-R165),2)</x:f>
        <x:v>3.97</x:v>
      </x:c>
      <x:c r="T165" s="14" t="str">
        <x:v>低</x:v>
      </x:c>
      <x:c r="U165" s="25"/>
      <x:c r="V165" s="25"/>
      <x:c r="W165" s="25"/>
      <x:c r="X165" s="25"/>
      <x:c r="Y165" s="25"/>
      <x:c r="Z165" s="25"/>
    </x:row>
    <x:row r="166">
      <x:c r="A166" s="14" t="str">
        <x:v>PLI-165</x:v>
      </x:c>
      <x:c r="B166" s="14" t="str">
        <x:v>12 Nutrition &amp; Commerce</x:v>
      </x:c>
      <x:c r="C166" s="14" t="str">
        <x:v>Calorie</x:v>
      </x:c>
      <x:c r="D166" s="14" t="str">
        <x:v>能量/份量辅助</x:v>
      </x:c>
      <x:c r="E166" s="14" t="str">
        <x:v>基于主人/兽医目标辅助估算，不替代临床营养处方。</x:v>
      </x:c>
      <x:c r="F166" s="14" t="str">
        <x:v>宠主</x:v>
      </x:c>
      <x:c r="G166" s="14" t="str">
        <x:v>计算/规则</x:v>
      </x:c>
      <x:c r="H166" s="14" t="str">
        <x:v>规则为主</x:v>
      </x:c>
      <x:c r="I166" s="14" t="str">
        <x:v>NutritionRecommendation</x:v>
      </x:c>
      <x:c r="J166" s="14" t="str"/>
      <x:c r="K166" s="14" t="str">
        <x:v>v1.0</x:v>
      </x:c>
      <x:c r="L166" s="14" t="str">
        <x:v>P2</x:v>
      </x:c>
      <x:c r="M166" s="14" t="n">
        <x:v>3</x:v>
      </x:c>
      <x:c r="N166" s="14" t="n">
        <x:v>4</x:v>
      </x:c>
      <x:c r="O166" s="14" t="n">
        <x:v>4</x:v>
      </x:c>
      <x:c r="P166" s="14" t="n">
        <x:v>4</x:v>
      </x:c>
      <x:c r="Q166" s="14" t="n">
        <x:v>3</x:v>
      </x:c>
      <x:c r="R166" s="14" t="n">
        <x:v>4</x:v>
      </x:c>
      <x:c r="S166" s="14" t="n">
        <x:f>ROUND(0.22*M166+0.28*N166+0.20*O166+0.15*P166+0.08*(6-Q166)+0.07*(6-R166),2)</x:f>
        <x:v>3.56</x:v>
      </x:c>
      <x:c r="T166" s="14" t="str">
        <x:v>中</x:v>
      </x:c>
      <x:c r="U166" s="25"/>
      <x:c r="V166" s="25"/>
      <x:c r="W166" s="25"/>
      <x:c r="X166" s="25"/>
      <x:c r="Y166" s="25"/>
      <x:c r="Z166" s="25"/>
    </x:row>
    <x:row r="167">
      <x:c r="A167" s="14" t="str">
        <x:v>PLI-166</x:v>
      </x:c>
      <x:c r="B167" s="14" t="str">
        <x:v>12 Nutrition &amp; Commerce</x:v>
      </x:c>
      <x:c r="C167" s="14" t="str">
        <x:v>Compatibility</x:v>
      </x:c>
      <x:c r="D167" s="14" t="str">
        <x:v>商品约束过滤</x:v>
      </x:c>
      <x:c r="E167" s="14" t="str">
        <x:v>按物种、年龄、疾病、过敏、药物、兽医限制过滤明显不合适商品。</x:v>
      </x:c>
      <x:c r="F167" s="14" t="str">
        <x:v>宠主</x:v>
      </x:c>
      <x:c r="G167" s="14" t="str">
        <x:v>规则</x:v>
      </x:c>
      <x:c r="H167" s="14" t="str">
        <x:v>规则为主</x:v>
      </x:c>
      <x:c r="I167" s="14" t="str">
        <x:v>ProductEligibilityCheck</x:v>
      </x:c>
      <x:c r="J167" s="14" t="str"/>
      <x:c r="K167" s="14" t="str">
        <x:v>v1.0</x:v>
      </x:c>
      <x:c r="L167" s="14" t="str">
        <x:v>P2</x:v>
      </x:c>
      <x:c r="M167" s="14" t="n">
        <x:v>3</x:v>
      </x:c>
      <x:c r="N167" s="14" t="n">
        <x:v>5</x:v>
      </x:c>
      <x:c r="O167" s="14" t="n">
        <x:v>4</x:v>
      </x:c>
      <x:c r="P167" s="14" t="n">
        <x:v>5</x:v>
      </x:c>
      <x:c r="Q167" s="14" t="n">
        <x:v>4</x:v>
      </x:c>
      <x:c r="R167" s="14" t="n">
        <x:v>4</x:v>
      </x:c>
      <x:c r="S167" s="14" t="n">
        <x:f>ROUND(0.22*M167+0.28*N167+0.20*O167+0.15*P167+0.08*(6-Q167)+0.07*(6-R167),2)</x:f>
        <x:v>3.91</x:v>
      </x:c>
      <x:c r="T167" s="14" t="str">
        <x:v>中</x:v>
      </x:c>
      <x:c r="U167" s="25"/>
      <x:c r="V167" s="25"/>
      <x:c r="W167" s="25"/>
      <x:c r="X167" s="25"/>
      <x:c r="Y167" s="25"/>
      <x:c r="Z167" s="25"/>
    </x:row>
    <x:row r="168">
      <x:c r="A168" s="14" t="str">
        <x:v>PLI-167</x:v>
      </x:c>
      <x:c r="B168" s="14" t="str">
        <x:v>12 Nutrition &amp; Commerce</x:v>
      </x:c>
      <x:c r="C168" s="14" t="str">
        <x:v>Outcome</x:v>
      </x:c>
      <x:c r="D168" s="14" t="str">
        <x:v>食品/用品使用结果</x:v>
      </x:c>
      <x:c r="E168" s="14" t="str">
        <x:v>记录喜好、消化/皮肤等主人观察、实际使用频率和停用原因。</x:v>
      </x:c>
      <x:c r="F168" s="14" t="str">
        <x:v>宠主</x:v>
      </x:c>
      <x:c r="G168" s="14" t="str">
        <x:v>无/规则</x:v>
      </x:c>
      <x:c r="H168" s="14" t="str">
        <x:v>否</x:v>
      </x:c>
      <x:c r="I168" s="14" t="str">
        <x:v>ProductOutcome</x:v>
      </x:c>
      <x:c r="J168" s="14" t="str"/>
      <x:c r="K168" s="14" t="str">
        <x:v>v1.0</x:v>
      </x:c>
      <x:c r="L168" s="14" t="str">
        <x:v>P2</x:v>
      </x:c>
      <x:c r="M168" s="14" t="n">
        <x:v>3</x:v>
      </x:c>
      <x:c r="N168" s="14" t="n">
        <x:v>5</x:v>
      </x:c>
      <x:c r="O168" s="14" t="n">
        <x:v>5</x:v>
      </x:c>
      <x:c r="P168" s="14" t="n">
        <x:v>5</x:v>
      </x:c>
      <x:c r="Q168" s="14" t="n">
        <x:v>3</x:v>
      </x:c>
      <x:c r="R168" s="14" t="n">
        <x:v>2</x:v>
      </x:c>
      <x:c r="S168" s="14" t="n">
        <x:f>ROUND(0.22*M168+0.28*N168+0.20*O168+0.15*P168+0.08*(6-Q168)+0.07*(6-R168),2)</x:f>
        <x:v>4.33</x:v>
      </x:c>
      <x:c r="T168" s="14" t="str">
        <x:v>低</x:v>
      </x:c>
      <x:c r="U168" s="25"/>
      <x:c r="V168" s="25"/>
      <x:c r="W168" s="25"/>
      <x:c r="X168" s="25"/>
      <x:c r="Y168" s="25"/>
      <x:c r="Z168" s="25"/>
    </x:row>
    <x:row r="169">
      <x:c r="A169" s="14" t="str">
        <x:v>PLI-168</x:v>
      </x:c>
      <x:c r="B169" s="14" t="str">
        <x:v>12 Nutrition &amp; Commerce</x:v>
      </x:c>
      <x:c r="C169" s="14" t="str">
        <x:v>Preference</x:v>
      </x:c>
      <x:c r="D169" s="14" t="str">
        <x:v>玩具/丰富化偏好学习</x:v>
      </x:c>
      <x:c r="E169" s="14" t="str">
        <x:v>根据实际互动时长和重复使用学习偏好而非只看购买。</x:v>
      </x:c>
      <x:c r="F169" s="14" t="str">
        <x:v>宠主</x:v>
      </x:c>
      <x:c r="G169" s="14" t="str">
        <x:v>偏好学习</x:v>
      </x:c>
      <x:c r="H169" s="14" t="str">
        <x:v>是</x:v>
      </x:c>
      <x:c r="I169" s="14" t="str">
        <x:v>PreferenceUpdated</x:v>
      </x:c>
      <x:c r="J169" s="14" t="str"/>
      <x:c r="K169" s="14" t="str">
        <x:v>v1.0</x:v>
      </x:c>
      <x:c r="L169" s="14" t="str">
        <x:v>P2</x:v>
      </x:c>
      <x:c r="M169" s="14" t="n">
        <x:v>3</x:v>
      </x:c>
      <x:c r="N169" s="14" t="n">
        <x:v>4</x:v>
      </x:c>
      <x:c r="O169" s="14" t="n">
        <x:v>5</x:v>
      </x:c>
      <x:c r="P169" s="14" t="n">
        <x:v>4</x:v>
      </x:c>
      <x:c r="Q169" s="14" t="n">
        <x:v>4</x:v>
      </x:c>
      <x:c r="R169" s="14" t="n">
        <x:v>1</x:v>
      </x:c>
      <x:c r="S169" s="14" t="n">
        <x:f>ROUND(0.22*M169+0.28*N169+0.20*O169+0.15*P169+0.08*(6-Q169)+0.07*(6-R169),2)</x:f>
        <x:v>3.89</x:v>
      </x:c>
      <x:c r="T169" s="14" t="str">
        <x:v>低</x:v>
      </x:c>
      <x:c r="U169" s="25"/>
      <x:c r="V169" s="25"/>
      <x:c r="W169" s="25"/>
      <x:c r="X169" s="25"/>
      <x:c r="Y169" s="25"/>
      <x:c r="Z169" s="25"/>
    </x:row>
    <x:row r="170">
      <x:c r="A170" s="14" t="str">
        <x:v>PLI-169</x:v>
      </x:c>
      <x:c r="B170" s="14" t="str">
        <x:v>12 Nutrition &amp; Commerce</x:v>
      </x:c>
      <x:c r="C170" s="14" t="str">
        <x:v>Commerce</x:v>
      </x:c>
      <x:c r="D170" s="14" t="str">
        <x:v>个性化商品推荐</x:v>
      </x:c>
      <x:c r="E170" s="14" t="str">
        <x:v>先基于约束，再基于真实使用结果排序；广告与推荐必须明确标识。</x:v>
      </x:c>
      <x:c r="F170" s="14" t="str">
        <x:v>宠主</x:v>
      </x:c>
      <x:c r="G170" s="14" t="str">
        <x:v>推荐系统</x:v>
      </x:c>
      <x:c r="H170" s="14" t="str">
        <x:v>是</x:v>
      </x:c>
      <x:c r="I170" s="14" t="str">
        <x:v>ProductRecommendation</x:v>
      </x:c>
      <x:c r="J170" s="14" t="str"/>
      <x:c r="K170" s="14" t="str">
        <x:v>Future</x:v>
      </x:c>
      <x:c r="L170" s="14" t="str">
        <x:v>Future</x:v>
      </x:c>
      <x:c r="M170" s="14" t="n">
        <x:v>3</x:v>
      </x:c>
      <x:c r="N170" s="14" t="n">
        <x:v>4</x:v>
      </x:c>
      <x:c r="O170" s="14" t="n">
        <x:v>5</x:v>
      </x:c>
      <x:c r="P170" s="14" t="n">
        <x:v>5</x:v>
      </x:c>
      <x:c r="Q170" s="14" t="n">
        <x:v>5</x:v>
      </x:c>
      <x:c r="R170" s="14" t="n">
        <x:v>4</x:v>
      </x:c>
      <x:c r="S170" s="14" t="n">
        <x:f>ROUND(0.22*M170+0.28*N170+0.20*O170+0.15*P170+0.08*(6-Q170)+0.07*(6-R170),2)</x:f>
        <x:v>3.75</x:v>
      </x:c>
      <x:c r="T170" s="14" t="str">
        <x:v>中</x:v>
      </x:c>
      <x:c r="U170" s="25"/>
      <x:c r="V170" s="25"/>
      <x:c r="W170" s="25"/>
      <x:c r="X170" s="25"/>
      <x:c r="Y170" s="25"/>
      <x:c r="Z170" s="25"/>
    </x:row>
    <x:row r="171">
      <x:c r="A171" s="14" t="str">
        <x:v>PLI-170</x:v>
      </x:c>
      <x:c r="B171" s="14" t="str">
        <x:v>12 Nutrition &amp; Commerce</x:v>
      </x:c>
      <x:c r="C171" s="14" t="str">
        <x:v>Subscriptions</x:v>
      </x:c>
      <x:c r="D171" s="14" t="str">
        <x:v>消耗品补货预测</x:v>
      </x:c>
      <x:c r="E171" s="14" t="str">
        <x:v>依据实际使用速度预测粮、猫砂、药品用品补货时间。</x:v>
      </x:c>
      <x:c r="F171" s="14" t="str">
        <x:v>宠主</x:v>
      </x:c>
      <x:c r="G171" s="14" t="str">
        <x:v>预测</x:v>
      </x:c>
      <x:c r="H171" s="14" t="str">
        <x:v>是</x:v>
      </x:c>
      <x:c r="I171" s="14" t="str">
        <x:v>ReorderPrediction</x:v>
      </x:c>
      <x:c r="J171" s="14" t="str"/>
      <x:c r="K171" s="14" t="str">
        <x:v>Future</x:v>
      </x:c>
      <x:c r="L171" s="14" t="str">
        <x:v>Future</x:v>
      </x:c>
      <x:c r="M171" s="14" t="n">
        <x:v>3</x:v>
      </x:c>
      <x:c r="N171" s="14" t="n">
        <x:v>4</x:v>
      </x:c>
      <x:c r="O171" s="14" t="n">
        <x:v>4</x:v>
      </x:c>
      <x:c r="P171" s="14" t="n">
        <x:v>5</x:v>
      </x:c>
      <x:c r="Q171" s="14" t="n">
        <x:v>4</x:v>
      </x:c>
      <x:c r="R171" s="14" t="n">
        <x:v>2</x:v>
      </x:c>
      <x:c r="S171" s="14" t="n">
        <x:f>ROUND(0.22*M171+0.28*N171+0.20*O171+0.15*P171+0.08*(6-Q171)+0.07*(6-R171),2)</x:f>
        <x:v>3.77</x:v>
      </x:c>
      <x:c r="T171" s="14" t="str">
        <x:v>低</x:v>
      </x:c>
      <x:c r="U171" s="25"/>
      <x:c r="V171" s="25"/>
      <x:c r="W171" s="25"/>
      <x:c r="X171" s="25"/>
      <x:c r="Y171" s="25"/>
      <x:c r="Z171" s="25"/>
    </x:row>
    <x:row r="172">
      <x:c r="A172" s="14" t="str">
        <x:v>PLI-171</x:v>
      </x:c>
      <x:c r="B172" s="14" t="str">
        <x:v>12 Nutrition &amp; Commerce</x:v>
      </x:c>
      <x:c r="C172" s="14" t="str">
        <x:v>Recall</x:v>
      </x:c>
      <x:c r="D172" s="14" t="str">
        <x:v>商品召回/风险通知</x:v>
      </x:c>
      <x:c r="E172" s="14" t="str">
        <x:v>在可靠来源出现召回或安全事件时匹配到实际使用宠物。</x:v>
      </x:c>
      <x:c r="F172" s="14" t="str">
        <x:v>宠主</x:v>
      </x:c>
      <x:c r="G172" s="14" t="str">
        <x:v>实体匹配</x:v>
      </x:c>
      <x:c r="H172" s="14" t="str">
        <x:v>是</x:v>
      </x:c>
      <x:c r="I172" s="14" t="str">
        <x:v>ProductSafetyAlert</x:v>
      </x:c>
      <x:c r="J172" s="14" t="str"/>
      <x:c r="K172" s="14" t="str">
        <x:v>Future</x:v>
      </x:c>
      <x:c r="L172" s="14" t="str">
        <x:v>Future</x:v>
      </x:c>
      <x:c r="M172" s="14" t="n">
        <x:v>1</x:v>
      </x:c>
      <x:c r="N172" s="14" t="n">
        <x:v>5</x:v>
      </x:c>
      <x:c r="O172" s="14" t="n">
        <x:v>4</x:v>
      </x:c>
      <x:c r="P172" s="14" t="n">
        <x:v>3</x:v>
      </x:c>
      <x:c r="Q172" s="14" t="n">
        <x:v>4</x:v>
      </x:c>
      <x:c r="R172" s="14" t="n">
        <x:v>5</x:v>
      </x:c>
      <x:c r="S172" s="14" t="n">
        <x:f>ROUND(0.22*M172+0.28*N172+0.20*O172+0.15*P172+0.08*(6-Q172)+0.07*(6-R172),2)</x:f>
        <x:v>3.1</x:v>
      </x:c>
      <x:c r="T172" s="14" t="str">
        <x:v>高</x:v>
      </x:c>
      <x:c r="U172" s="25"/>
      <x:c r="V172" s="25"/>
      <x:c r="W172" s="25"/>
      <x:c r="X172" s="25"/>
      <x:c r="Y172" s="25"/>
      <x:c r="Z172" s="25"/>
    </x:row>
    <x:row r="173">
      <x:c r="A173" s="14" t="str">
        <x:v>PLI-172</x:v>
      </x:c>
      <x:c r="B173" s="14" t="str">
        <x:v>12 Nutrition &amp; Commerce</x:v>
      </x:c>
      <x:c r="C173" s="14" t="str">
        <x:v>Professional</x:v>
      </x:c>
      <x:c r="D173" s="14" t="str">
        <x:v>营养师/兽医计划</x:v>
      </x:c>
      <x:c r="E173" s="14" t="str">
        <x:v>允许专业人员发布饮食计划，平台负责执行和跟踪。</x:v>
      </x:c>
      <x:c r="F173" s="14" t="str">
        <x:v>宠主</x:v>
      </x:c>
      <x:c r="G173" s="14" t="str">
        <x:v>无/规则</x:v>
      </x:c>
      <x:c r="H173" s="14" t="str">
        <x:v>否</x:v>
      </x:c>
      <x:c r="I173" s="14" t="str">
        <x:v>ProfessionalNutritionPlan</x:v>
      </x:c>
      <x:c r="J173" s="14" t="str"/>
      <x:c r="K173" s="14" t="str">
        <x:v>v1.0</x:v>
      </x:c>
      <x:c r="L173" s="14" t="str">
        <x:v>P2</x:v>
      </x:c>
      <x:c r="M173" s="14" t="n">
        <x:v>2</x:v>
      </x:c>
      <x:c r="N173" s="14" t="n">
        <x:v>5</x:v>
      </x:c>
      <x:c r="O173" s="14" t="n">
        <x:v>5</x:v>
      </x:c>
      <x:c r="P173" s="14" t="n">
        <x:v>4</x:v>
      </x:c>
      <x:c r="Q173" s="14" t="n">
        <x:v>4</x:v>
      </x:c>
      <x:c r="R173" s="14" t="n">
        <x:v>5</x:v>
      </x:c>
      <x:c r="S173" s="14" t="n">
        <x:f>ROUND(0.22*M173+0.28*N173+0.20*O173+0.15*P173+0.08*(6-Q173)+0.07*(6-R173),2)</x:f>
        <x:v>3.67</x:v>
      </x:c>
      <x:c r="T173" s="14" t="str">
        <x:v>高</x:v>
      </x:c>
      <x:c r="U173" s="25"/>
      <x:c r="V173" s="25"/>
      <x:c r="W173" s="25"/>
      <x:c r="X173" s="25"/>
      <x:c r="Y173" s="25"/>
      <x:c r="Z173" s="25"/>
    </x:row>
    <x:row r="174">
      <x:c r="A174" s="14" t="str">
        <x:v>PLI-173</x:v>
      </x:c>
      <x:c r="B174" s="14" t="str">
        <x:v>12 Nutrition &amp; Commerce</x:v>
      </x:c>
      <x:c r="C174" s="14" t="str">
        <x:v>Transparency</x:v>
      </x:c>
      <x:c r="D174" s="14" t="str">
        <x:v>推荐理由与商业披露</x:v>
      </x:c>
      <x:c r="E174" s="14" t="str">
        <x:v>展示“为什么推荐”、哪些信息参与排序，以及是否为商业合作。</x:v>
      </x:c>
      <x:c r="F174" s="14" t="str">
        <x:v>宠主</x:v>
      </x:c>
      <x:c r="G174" s="14" t="str">
        <x:v>解释</x:v>
      </x:c>
      <x:c r="H174" s="14" t="str">
        <x:v>是</x:v>
      </x:c>
      <x:c r="I174" s="14" t="str">
        <x:v>RecommendationExplanationViewed</x:v>
      </x:c>
      <x:c r="J174" s="14" t="str"/>
      <x:c r="K174" s="14" t="str">
        <x:v>Future</x:v>
      </x:c>
      <x:c r="L174" s="14" t="str">
        <x:v>Future</x:v>
      </x:c>
      <x:c r="M174" s="14" t="n">
        <x:v>2</x:v>
      </x:c>
      <x:c r="N174" s="14" t="n">
        <x:v>5</x:v>
      </x:c>
      <x:c r="O174" s="14" t="n">
        <x:v>3</x:v>
      </x:c>
      <x:c r="P174" s="14" t="n">
        <x:v>3</x:v>
      </x:c>
      <x:c r="Q174" s="14" t="n">
        <x:v>3</x:v>
      </x:c>
      <x:c r="R174" s="14" t="n">
        <x:v>2</x:v>
      </x:c>
      <x:c r="S174" s="14" t="n">
        <x:f>ROUND(0.22*M174+0.28*N174+0.20*O174+0.15*P174+0.08*(6-Q174)+0.07*(6-R174),2)</x:f>
        <x:v>3.41</x:v>
      </x:c>
      <x:c r="T174" s="14" t="str">
        <x:v>低</x:v>
      </x:c>
      <x:c r="U174" s="25"/>
      <x:c r="V174" s="25"/>
      <x:c r="W174" s="25"/>
      <x:c r="X174" s="25"/>
      <x:c r="Y174" s="25"/>
      <x:c r="Z174" s="25"/>
    </x:row>
    <x:row r="175">
      <x:c r="A175" s="14" t="str">
        <x:v>PLI-174</x:v>
      </x:c>
      <x:c r="B175" s="14" t="str">
        <x:v>12 Nutrition &amp; Commerce</x:v>
      </x:c>
      <x:c r="C175" s="14" t="str">
        <x:v>Graph</x:v>
      </x:c>
      <x:c r="D175" s="14" t="str">
        <x:v>Pet Consumption Graph</x:v>
      </x:c>
      <x:c r="E175" s="14" t="str">
        <x:v>把商品、使用、反应和Outcome连接到Timeline，作为长期偏好与风险上下文。</x:v>
      </x:c>
      <x:c r="F175" s="14" t="str">
        <x:v>宠主</x:v>
      </x:c>
      <x:c r="G175" s="14" t="str">
        <x:v>无/规则</x:v>
      </x:c>
      <x:c r="H175" s="14" t="str">
        <x:v>否</x:v>
      </x:c>
      <x:c r="I175" s="14" t="str">
        <x:v>ConsumptionGraphUpdated</x:v>
      </x:c>
      <x:c r="J175" s="14" t="str"/>
      <x:c r="K175" s="14" t="str">
        <x:v>Future</x:v>
      </x:c>
      <x:c r="L175" s="14" t="str">
        <x:v>Future</x:v>
      </x:c>
      <x:c r="M175" s="14" t="n">
        <x:v>2</x:v>
      </x:c>
      <x:c r="N175" s="14" t="n">
        <x:v>5</x:v>
      </x:c>
      <x:c r="O175" s="14" t="n">
        <x:v>5</x:v>
      </x:c>
      <x:c r="P175" s="14" t="n">
        <x:v>4</x:v>
      </x:c>
      <x:c r="Q175" s="14" t="n">
        <x:v>5</x:v>
      </x:c>
      <x:c r="R175" s="14" t="n">
        <x:v>2</x:v>
      </x:c>
      <x:c r="S175" s="14" t="n">
        <x:f>ROUND(0.22*M175+0.28*N175+0.20*O175+0.15*P175+0.08*(6-Q175)+0.07*(6-R175),2)</x:f>
        <x:v>3.8</x:v>
      </x:c>
      <x:c r="T175" s="14" t="str">
        <x:v>低</x:v>
      </x:c>
      <x:c r="U175" s="25"/>
      <x:c r="V175" s="25"/>
      <x:c r="W175" s="25"/>
      <x:c r="X175" s="25"/>
      <x:c r="Y175" s="25"/>
      <x:c r="Z175" s="25"/>
    </x:row>
    <x:row r="176">
      <x:c r="A176" s="14" t="str">
        <x:v>PLI-175</x:v>
      </x:c>
      <x:c r="B176" s="14" t="str">
        <x:v>13 Finance &amp; Insurance</x:v>
      </x:c>
      <x:c r="C176" s="14" t="str">
        <x:v>Ledger</x:v>
      </x:c>
      <x:c r="D176" s="14" t="str">
        <x:v>养宠费用账本</x:v>
      </x:c>
      <x:c r="E176" s="14" t="str">
        <x:v>记录食品、用品、医疗、服务、保险、训练等支出并关联宠物与事件。</x:v>
      </x:c>
      <x:c r="F176" s="14" t="str">
        <x:v>宠主</x:v>
      </x:c>
      <x:c r="G176" s="14" t="str">
        <x:v>无/规则</x:v>
      </x:c>
      <x:c r="H176" s="14" t="str">
        <x:v>否</x:v>
      </x:c>
      <x:c r="I176" s="14" t="str">
        <x:v>ExpenseRecorded</x:v>
      </x:c>
      <x:c r="J176" s="14" t="str"/>
      <x:c r="K176" s="14" t="str">
        <x:v>v0.2</x:v>
      </x:c>
      <x:c r="L176" s="14" t="str">
        <x:v>P1</x:v>
      </x:c>
      <x:c r="M176" s="14" t="n">
        <x:v>3</x:v>
      </x:c>
      <x:c r="N176" s="14" t="n">
        <x:v>4</x:v>
      </x:c>
      <x:c r="O176" s="14" t="n">
        <x:v>4</x:v>
      </x:c>
      <x:c r="P176" s="14" t="n">
        <x:v>3</x:v>
      </x:c>
      <x:c r="Q176" s="14" t="n">
        <x:v>2</x:v>
      </x:c>
      <x:c r="R176" s="14" t="n">
        <x:v>2</x:v>
      </x:c>
      <x:c r="S176" s="14" t="n">
        <x:f>ROUND(0.22*M176+0.28*N176+0.20*O176+0.15*P176+0.08*(6-Q176)+0.07*(6-R176),2)</x:f>
        <x:v>3.63</x:v>
      </x:c>
      <x:c r="T176" s="14" t="str">
        <x:v>低</x:v>
      </x:c>
      <x:c r="U176" s="25"/>
      <x:c r="V176" s="25"/>
      <x:c r="W176" s="25"/>
      <x:c r="X176" s="25"/>
      <x:c r="Y176" s="25"/>
      <x:c r="Z176" s="25"/>
    </x:row>
    <x:row r="177">
      <x:c r="A177" s="14" t="str">
        <x:v>PLI-176</x:v>
      </x:c>
      <x:c r="B177" s="14" t="str">
        <x:v>13 Finance &amp; Insurance</x:v>
      </x:c>
      <x:c r="C177" s="14" t="str">
        <x:v>Split</x:v>
      </x:c>
      <x:c r="D177" s="14" t="str">
        <x:v>家庭费用分摊</x:v>
      </x:c>
      <x:c r="E177" s="14" t="str">
        <x:v>按成员、类别或约定比例记录共同养宠费用分摊。</x:v>
      </x:c>
      <x:c r="F177" s="14" t="str">
        <x:v>宠主</x:v>
      </x:c>
      <x:c r="G177" s="14" t="str">
        <x:v>无/规则</x:v>
      </x:c>
      <x:c r="H177" s="14" t="str">
        <x:v>否</x:v>
      </x:c>
      <x:c r="I177" s="14" t="str">
        <x:v>ExpenseSplit</x:v>
      </x:c>
      <x:c r="J177" s="14" t="str"/>
      <x:c r="K177" s="14" t="str">
        <x:v>v1.0</x:v>
      </x:c>
      <x:c r="L177" s="14" t="str">
        <x:v>P2</x:v>
      </x:c>
      <x:c r="M177" s="14" t="n">
        <x:v>2</x:v>
      </x:c>
      <x:c r="N177" s="14" t="n">
        <x:v>4</x:v>
      </x:c>
      <x:c r="O177" s="14" t="n">
        <x:v>3</x:v>
      </x:c>
      <x:c r="P177" s="14" t="n">
        <x:v>3</x:v>
      </x:c>
      <x:c r="Q177" s="14" t="n">
        <x:v>3</x:v>
      </x:c>
      <x:c r="R177" s="14" t="n">
        <x:v>2</x:v>
      </x:c>
      <x:c r="S177" s="14" t="n">
        <x:f>ROUND(0.22*M177+0.28*N177+0.20*O177+0.15*P177+0.08*(6-Q177)+0.07*(6-R177),2)</x:f>
        <x:v>3.13</x:v>
      </x:c>
      <x:c r="T177" s="14" t="str">
        <x:v>低</x:v>
      </x:c>
      <x:c r="U177" s="25"/>
      <x:c r="V177" s="25"/>
      <x:c r="W177" s="25"/>
      <x:c r="X177" s="25"/>
      <x:c r="Y177" s="25"/>
      <x:c r="Z177" s="25"/>
    </x:row>
    <x:row r="178">
      <x:c r="A178" s="14" t="str">
        <x:v>PLI-177</x:v>
      </x:c>
      <x:c r="B178" s="14" t="str">
        <x:v>13 Finance &amp; Insurance</x:v>
      </x:c>
      <x:c r="C178" s="14" t="str">
        <x:v>Budget</x:v>
      </x:c>
      <x:c r="D178" s="14" t="str">
        <x:v>年度预算与趋势</x:v>
      </x:c>
      <x:c r="E178" s="14" t="str">
        <x:v>查看年度/月度养宠成本与大类趋势。</x:v>
      </x:c>
      <x:c r="F178" s="14" t="str">
        <x:v>宠主</x:v>
      </x:c>
      <x:c r="G178" s="14" t="str">
        <x:v>预测/统计</x:v>
      </x:c>
      <x:c r="H178" s="14" t="str">
        <x:v>是</x:v>
      </x:c>
      <x:c r="I178" s="14" t="str">
        <x:v>BudgetUpdated</x:v>
      </x:c>
      <x:c r="J178" s="14" t="str"/>
      <x:c r="K178" s="14" t="str">
        <x:v>v1.0</x:v>
      </x:c>
      <x:c r="L178" s="14" t="str">
        <x:v>P2</x:v>
      </x:c>
      <x:c r="M178" s="14" t="n">
        <x:v>2</x:v>
      </x:c>
      <x:c r="N178" s="14" t="n">
        <x:v>4</x:v>
      </x:c>
      <x:c r="O178" s="14" t="n">
        <x:v>4</x:v>
      </x:c>
      <x:c r="P178" s="14" t="n">
        <x:v>3</x:v>
      </x:c>
      <x:c r="Q178" s="14" t="n">
        <x:v>3</x:v>
      </x:c>
      <x:c r="R178" s="14" t="n">
        <x:v>1</x:v>
      </x:c>
      <x:c r="S178" s="14" t="n">
        <x:f>ROUND(0.22*M178+0.28*N178+0.20*O178+0.15*P178+0.08*(6-Q178)+0.07*(6-R178),2)</x:f>
        <x:v>3.4</x:v>
      </x:c>
      <x:c r="T178" s="14" t="str">
        <x:v>低</x:v>
      </x:c>
      <x:c r="U178" s="25"/>
      <x:c r="V178" s="25"/>
      <x:c r="W178" s="25"/>
      <x:c r="X178" s="25"/>
      <x:c r="Y178" s="25"/>
      <x:c r="Z178" s="25"/>
    </x:row>
    <x:row r="179">
      <x:c r="A179" s="14" t="str">
        <x:v>PLI-178</x:v>
      </x:c>
      <x:c r="B179" s="14" t="str">
        <x:v>13 Finance &amp; Insurance</x:v>
      </x:c>
      <x:c r="C179" s="14" t="str">
        <x:v>Forecast</x:v>
      </x:c>
      <x:c r="D179" s="14" t="str">
        <x:v>未来支出预测</x:v>
      </x:c>
      <x:c r="E179" s="14" t="str">
        <x:v>根据订阅、药物、常规预防和历史支出给区间预测，不承诺医疗费用。</x:v>
      </x:c>
      <x:c r="F179" s="14" t="str">
        <x:v>宠主</x:v>
      </x:c>
      <x:c r="G179" s="14" t="str">
        <x:v>预测</x:v>
      </x:c>
      <x:c r="H179" s="14" t="str">
        <x:v>是</x:v>
      </x:c>
      <x:c r="I179" s="14" t="str">
        <x:v>CostForecastGenerated</x:v>
      </x:c>
      <x:c r="J179" s="14" t="str"/>
      <x:c r="K179" s="14" t="str">
        <x:v>Future</x:v>
      </x:c>
      <x:c r="L179" s="14" t="str">
        <x:v>Future</x:v>
      </x:c>
      <x:c r="M179" s="14" t="n">
        <x:v>1</x:v>
      </x:c>
      <x:c r="N179" s="14" t="n">
        <x:v>3</x:v>
      </x:c>
      <x:c r="O179" s="14" t="n">
        <x:v>4</x:v>
      </x:c>
      <x:c r="P179" s="14" t="n">
        <x:v>3</x:v>
      </x:c>
      <x:c r="Q179" s="14" t="n">
        <x:v>4</x:v>
      </x:c>
      <x:c r="R179" s="14" t="n">
        <x:v>2</x:v>
      </x:c>
      <x:c r="S179" s="14" t="n">
        <x:f>ROUND(0.22*M179+0.28*N179+0.20*O179+0.15*P179+0.08*(6-Q179)+0.07*(6-R179),2)</x:f>
        <x:v>2.75</x:v>
      </x:c>
      <x:c r="T179" s="14" t="str">
        <x:v>低</x:v>
      </x:c>
      <x:c r="U179" s="25"/>
      <x:c r="V179" s="25"/>
      <x:c r="W179" s="25"/>
      <x:c r="X179" s="25"/>
      <x:c r="Y179" s="25"/>
      <x:c r="Z179" s="25"/>
    </x:row>
    <x:row r="180">
      <x:c r="A180" s="14" t="str">
        <x:v>PLI-179</x:v>
      </x:c>
      <x:c r="B180" s="14" t="str">
        <x:v>13 Finance &amp; Insurance</x:v>
      </x:c>
      <x:c r="C180" s="14" t="str">
        <x:v>Insurance</x:v>
      </x:c>
      <x:c r="D180" s="14" t="str">
        <x:v>保单档案</x:v>
      </x:c>
      <x:c r="E180" s="14" t="str">
        <x:v>记录承保对象、免赔、续期、等待期、主要责任和联系方式。</x:v>
      </x:c>
      <x:c r="F180" s="14" t="str">
        <x:v>宠主</x:v>
      </x:c>
      <x:c r="G180" s="14" t="str">
        <x:v>无/规则</x:v>
      </x:c>
      <x:c r="H180" s="14" t="str">
        <x:v>否</x:v>
      </x:c>
      <x:c r="I180" s="14" t="str">
        <x:v>InsurancePolicyAdded</x:v>
      </x:c>
      <x:c r="J180" s="14" t="str"/>
      <x:c r="K180" s="14" t="str">
        <x:v>v1.0</x:v>
      </x:c>
      <x:c r="L180" s="14" t="str">
        <x:v>P2</x:v>
      </x:c>
      <x:c r="M180" s="14" t="n">
        <x:v>1</x:v>
      </x:c>
      <x:c r="N180" s="14" t="n">
        <x:v>4</x:v>
      </x:c>
      <x:c r="O180" s="14" t="n">
        <x:v>4</x:v>
      </x:c>
      <x:c r="P180" s="14" t="n">
        <x:v>4</x:v>
      </x:c>
      <x:c r="Q180" s="14" t="n">
        <x:v>3</x:v>
      </x:c>
      <x:c r="R180" s="14" t="n">
        <x:v>4</x:v>
      </x:c>
      <x:c r="S180" s="14" t="n">
        <x:f>ROUND(0.22*M180+0.28*N180+0.20*O180+0.15*P180+0.08*(6-Q180)+0.07*(6-R180),2)</x:f>
        <x:v>3.12</x:v>
      </x:c>
      <x:c r="T180" s="14" t="str">
        <x:v>中</x:v>
      </x:c>
      <x:c r="U180" s="25"/>
      <x:c r="V180" s="25"/>
      <x:c r="W180" s="25"/>
      <x:c r="X180" s="25"/>
      <x:c r="Y180" s="25"/>
      <x:c r="Z180" s="25"/>
    </x:row>
    <x:row r="181">
      <x:c r="A181" s="14" t="str">
        <x:v>PLI-180</x:v>
      </x:c>
      <x:c r="B181" s="14" t="str">
        <x:v>13 Finance &amp; Insurance</x:v>
      </x:c>
      <x:c r="C181" s="14" t="str">
        <x:v>Claims</x:v>
      </x:c>
      <x:c r="D181" s="14" t="str">
        <x:v>理赔材料整理</x:v>
      </x:c>
      <x:c r="E181" s="14" t="str">
        <x:v>把病历、处方、发票和事件时间线整理为材料包，最终赔付判断归保险方。</x:v>
      </x:c>
      <x:c r="F181" s="14" t="str">
        <x:v>宠主</x:v>
      </x:c>
      <x:c r="G181" s="14" t="str">
        <x:v>文档整理</x:v>
      </x:c>
      <x:c r="H181" s="14" t="str">
        <x:v>是</x:v>
      </x:c>
      <x:c r="I181" s="14" t="str">
        <x:v>ClaimPackageGenerated</x:v>
      </x:c>
      <x:c r="J181" s="14" t="str"/>
      <x:c r="K181" s="14" t="str">
        <x:v>v1.0</x:v>
      </x:c>
      <x:c r="L181" s="14" t="str">
        <x:v>P2</x:v>
      </x:c>
      <x:c r="M181" s="14" t="n">
        <x:v>1</x:v>
      </x:c>
      <x:c r="N181" s="14" t="n">
        <x:v>5</x:v>
      </x:c>
      <x:c r="O181" s="14" t="n">
        <x:v>5</x:v>
      </x:c>
      <x:c r="P181" s="14" t="n">
        <x:v>5</x:v>
      </x:c>
      <x:c r="Q181" s="14" t="n">
        <x:v>4</x:v>
      </x:c>
      <x:c r="R181" s="14" t="n">
        <x:v>5</x:v>
      </x:c>
      <x:c r="S181" s="14" t="n">
        <x:f>ROUND(0.22*M181+0.28*N181+0.20*O181+0.15*P181+0.08*(6-Q181)+0.07*(6-R181),2)</x:f>
        <x:v>3.6</x:v>
      </x:c>
      <x:c r="T181" s="14" t="str">
        <x:v>高</x:v>
      </x:c>
      <x:c r="U181" s="25"/>
      <x:c r="V181" s="25"/>
      <x:c r="W181" s="25"/>
      <x:c r="X181" s="25"/>
      <x:c r="Y181" s="25"/>
      <x:c r="Z181" s="25"/>
    </x:row>
    <x:row r="182">
      <x:c r="A182" s="14" t="str">
        <x:v>PLI-181</x:v>
      </x:c>
      <x:c r="B182" s="14" t="str">
        <x:v>13 Finance &amp; Insurance</x:v>
      </x:c>
      <x:c r="C182" s="14" t="str">
        <x:v>Claims</x:v>
      </x:c>
      <x:c r="D182" s="14" t="str">
        <x:v>理赔状态跟踪</x:v>
      </x:c>
      <x:c r="E182" s="14" t="str">
        <x:v>记录提交、补件、审核、赔付和拒赔原因。</x:v>
      </x:c>
      <x:c r="F182" s="14" t="str">
        <x:v>宠主</x:v>
      </x:c>
      <x:c r="G182" s="14" t="str">
        <x:v>无/规则</x:v>
      </x:c>
      <x:c r="H182" s="14" t="str">
        <x:v>否</x:v>
      </x:c>
      <x:c r="I182" s="14" t="str">
        <x:v>ClaimStatusUpdated</x:v>
      </x:c>
      <x:c r="J182" s="14" t="str"/>
      <x:c r="K182" s="14" t="str">
        <x:v>v1.0</x:v>
      </x:c>
      <x:c r="L182" s="14" t="str">
        <x:v>P2</x:v>
      </x:c>
      <x:c r="M182" s="14" t="n">
        <x:v>1</x:v>
      </x:c>
      <x:c r="N182" s="14" t="n">
        <x:v>4</x:v>
      </x:c>
      <x:c r="O182" s="14" t="n">
        <x:v>4</x:v>
      </x:c>
      <x:c r="P182" s="14" t="n">
        <x:v>4</x:v>
      </x:c>
      <x:c r="Q182" s="14" t="n">
        <x:v>3</x:v>
      </x:c>
      <x:c r="R182" s="14" t="n">
        <x:v>2</x:v>
      </x:c>
      <x:c r="S182" s="14" t="n">
        <x:f>ROUND(0.22*M182+0.28*N182+0.20*O182+0.15*P182+0.08*(6-Q182)+0.07*(6-R182),2)</x:f>
        <x:v>3.26</x:v>
      </x:c>
      <x:c r="T182" s="14" t="str">
        <x:v>低</x:v>
      </x:c>
      <x:c r="U182" s="25"/>
      <x:c r="V182" s="25"/>
      <x:c r="W182" s="25"/>
      <x:c r="X182" s="25"/>
      <x:c r="Y182" s="25"/>
      <x:c r="Z182" s="25"/>
    </x:row>
    <x:row r="183">
      <x:c r="A183" s="14" t="str">
        <x:v>PLI-182</x:v>
      </x:c>
      <x:c r="B183" s="14" t="str">
        <x:v>13 Finance &amp; Insurance</x:v>
      </x:c>
      <x:c r="C183" s="14" t="str">
        <x:v>Benefits</x:v>
      </x:c>
      <x:c r="D183" s="14" t="str">
        <x:v>权益提醒</x:v>
      </x:c>
      <x:c r="E183" s="14" t="str">
        <x:v>提醒疫苗、体检、线上兽医等已购买但未使用的保险/会员权益。</x:v>
      </x:c>
      <x:c r="F183" s="14" t="str">
        <x:v>宠主</x:v>
      </x:c>
      <x:c r="G183" s="14" t="str">
        <x:v>规则</x:v>
      </x:c>
      <x:c r="H183" s="14" t="str">
        <x:v>规则为主</x:v>
      </x:c>
      <x:c r="I183" s="14" t="str">
        <x:v>BenefitReminder</x:v>
      </x:c>
      <x:c r="J183" s="14" t="str"/>
      <x:c r="K183" s="14" t="str">
        <x:v>Future</x:v>
      </x:c>
      <x:c r="L183" s="14" t="str">
        <x:v>Future</x:v>
      </x:c>
      <x:c r="M183" s="14" t="n">
        <x:v>2</x:v>
      </x:c>
      <x:c r="N183" s="14" t="n">
        <x:v>4</x:v>
      </x:c>
      <x:c r="O183" s="14" t="n">
        <x:v>3</x:v>
      </x:c>
      <x:c r="P183" s="14" t="n">
        <x:v>4</x:v>
      </x:c>
      <x:c r="Q183" s="14" t="n">
        <x:v>3</x:v>
      </x:c>
      <x:c r="R183" s="14" t="n">
        <x:v>2</x:v>
      </x:c>
      <x:c r="S183" s="14" t="n">
        <x:f>ROUND(0.22*M183+0.28*N183+0.20*O183+0.15*P183+0.08*(6-Q183)+0.07*(6-R183),2)</x:f>
        <x:v>3.28</x:v>
      </x:c>
      <x:c r="T183" s="14" t="str">
        <x:v>低</x:v>
      </x:c>
      <x:c r="U183" s="25"/>
      <x:c r="V183" s="25"/>
      <x:c r="W183" s="25"/>
      <x:c r="X183" s="25"/>
      <x:c r="Y183" s="25"/>
      <x:c r="Z183" s="25"/>
    </x:row>
    <x:row r="184">
      <x:c r="A184" s="14" t="str">
        <x:v>PLI-183</x:v>
      </x:c>
      <x:c r="B184" s="14" t="str">
        <x:v>13 Finance &amp; Insurance</x:v>
      </x:c>
      <x:c r="C184" s="14" t="str">
        <x:v>Payments</x:v>
      </x:c>
      <x:c r="D184" s="14" t="str">
        <x:v>支付授权边界</x:v>
      </x:c>
      <x:c r="E184" s="14" t="str">
        <x:v>支付、退款、自动续费等必须单独授权并与Pet Agent解耦。</x:v>
      </x:c>
      <x:c r="F184" s="14" t="str">
        <x:v>宠主</x:v>
      </x:c>
      <x:c r="G184" s="14" t="str">
        <x:v>无/规则</x:v>
      </x:c>
      <x:c r="H184" s="14" t="str">
        <x:v>否</x:v>
      </x:c>
      <x:c r="I184" s="14" t="str">
        <x:v>PaymentApproval</x:v>
      </x:c>
      <x:c r="J184" s="14" t="str"/>
      <x:c r="K184" s="14" t="str">
        <x:v>Future</x:v>
      </x:c>
      <x:c r="L184" s="14" t="str">
        <x:v>Future</x:v>
      </x:c>
      <x:c r="M184" s="14" t="n">
        <x:v>2</x:v>
      </x:c>
      <x:c r="N184" s="14" t="n">
        <x:v>5</x:v>
      </x:c>
      <x:c r="O184" s="14" t="n">
        <x:v>3</x:v>
      </x:c>
      <x:c r="P184" s="14" t="n">
        <x:v>3</x:v>
      </x:c>
      <x:c r="Q184" s="14" t="n">
        <x:v>4</x:v>
      </x:c>
      <x:c r="R184" s="14" t="n">
        <x:v>5</x:v>
      </x:c>
      <x:c r="S184" s="14" t="n">
        <x:f>ROUND(0.22*M184+0.28*N184+0.20*O184+0.15*P184+0.08*(6-Q184)+0.07*(6-R184),2)</x:f>
        <x:v>3.12</x:v>
      </x:c>
      <x:c r="T184" s="14" t="str">
        <x:v>高</x:v>
      </x:c>
      <x:c r="U184" s="25"/>
      <x:c r="V184" s="25"/>
      <x:c r="W184" s="25"/>
      <x:c r="X184" s="25"/>
      <x:c r="Y184" s="25"/>
      <x:c r="Z184" s="25"/>
    </x:row>
    <x:row r="185">
      <x:c r="A185" s="14" t="str">
        <x:v>PLI-184</x:v>
      </x:c>
      <x:c r="B185" s="14" t="str">
        <x:v>13 Finance &amp; Insurance</x:v>
      </x:c>
      <x:c r="C185" s="14" t="str">
        <x:v>Export</x:v>
      </x:c>
      <x:c r="D185" s="14" t="str">
        <x:v>费用/理赔导出</x:v>
      </x:c>
      <x:c r="E185" s="14" t="str">
        <x:v>导出家庭账本或理赔记录用于个人管理与迁移。</x:v>
      </x:c>
      <x:c r="F185" s="14" t="str">
        <x:v>宠主</x:v>
      </x:c>
      <x:c r="G185" s="14" t="str">
        <x:v>无/规则</x:v>
      </x:c>
      <x:c r="H185" s="14" t="str">
        <x:v>否</x:v>
      </x:c>
      <x:c r="I185" s="14" t="str">
        <x:v>FinanceExported</x:v>
      </x:c>
      <x:c r="J185" s="14" t="str"/>
      <x:c r="K185" s="14" t="str">
        <x:v>v1.0</x:v>
      </x:c>
      <x:c r="L185" s="14" t="str">
        <x:v>P2</x:v>
      </x:c>
      <x:c r="M185" s="14" t="n">
        <x:v>1</x:v>
      </x:c>
      <x:c r="N185" s="14" t="n">
        <x:v>4</x:v>
      </x:c>
      <x:c r="O185" s="14" t="n">
        <x:v>3</x:v>
      </x:c>
      <x:c r="P185" s="14" t="n">
        <x:v>2</x:v>
      </x:c>
      <x:c r="Q185" s="14" t="n">
        <x:v>2</x:v>
      </x:c>
      <x:c r="R185" s="14" t="n">
        <x:v>2</x:v>
      </x:c>
      <x:c r="S185" s="14" t="n">
        <x:f>ROUND(0.22*M185+0.28*N185+0.20*O185+0.15*P185+0.08*(6-Q185)+0.07*(6-R185),2)</x:f>
        <x:v>2.84</x:v>
      </x:c>
      <x:c r="T185" s="14" t="str">
        <x:v>低</x:v>
      </x:c>
      <x:c r="U185" s="25"/>
      <x:c r="V185" s="25"/>
      <x:c r="W185" s="25"/>
      <x:c r="X185" s="25"/>
      <x:c r="Y185" s="25"/>
      <x:c r="Z185" s="25"/>
    </x:row>
    <x:row r="186">
      <x:c r="A186" s="14" t="str">
        <x:v>PLI-185</x:v>
      </x:c>
      <x:c r="B186" s="14" t="str">
        <x:v>14 Life Timeline &amp; Archive</x:v>
      </x:c>
      <x:c r="C186" s="14" t="str">
        <x:v>Timeline</x:v>
      </x:c>
      <x:c r="D186" s="14" t="str">
        <x:v>统一生命时间线</x:v>
      </x:c>
      <x:c r="E186" s="14" t="str">
        <x:v>把健康、日常、训练、好友、服务、消费和里程碑按时间组织。</x:v>
      </x:c>
      <x:c r="F186" s="14" t="str">
        <x:v>宠主</x:v>
      </x:c>
      <x:c r="G186" s="14" t="str">
        <x:v>无/规则</x:v>
      </x:c>
      <x:c r="H186" s="14" t="str">
        <x:v>否</x:v>
      </x:c>
      <x:c r="I186" s="14" t="str">
        <x:v>TimelineViewed</x:v>
      </x:c>
      <x:c r="J186" s="14" t="str"/>
      <x:c r="K186" s="14" t="str">
        <x:v>v0.1</x:v>
      </x:c>
      <x:c r="L186" s="14" t="str">
        <x:v>P0</x:v>
      </x:c>
      <x:c r="M186" s="14" t="n">
        <x:v>4</x:v>
      </x:c>
      <x:c r="N186" s="14" t="n">
        <x:v>5</x:v>
      </x:c>
      <x:c r="O186" s="14" t="n">
        <x:v>5</x:v>
      </x:c>
      <x:c r="P186" s="14" t="n">
        <x:v>3</x:v>
      </x:c>
      <x:c r="Q186" s="14" t="n">
        <x:v>3</x:v>
      </x:c>
      <x:c r="R186" s="14" t="n">
        <x:v>1</x:v>
      </x:c>
      <x:c r="S186" s="14" t="n">
        <x:f>ROUND(0.22*M186+0.28*N186+0.20*O186+0.15*P186+0.08*(6-Q186)+0.07*(6-R186),2)</x:f>
        <x:v>4.32</x:v>
      </x:c>
      <x:c r="T186" s="14" t="str">
        <x:v>低</x:v>
      </x:c>
      <x:c r="U186" s="25"/>
      <x:c r="V186" s="25"/>
      <x:c r="W186" s="25"/>
      <x:c r="X186" s="25"/>
      <x:c r="Y186" s="25"/>
      <x:c r="Z186" s="25"/>
    </x:row>
    <x:row r="187">
      <x:c r="A187" s="14" t="str">
        <x:v>PLI-186</x:v>
      </x:c>
      <x:c r="B187" s="14" t="str">
        <x:v>14 Life Timeline &amp; Archive</x:v>
      </x:c>
      <x:c r="C187" s="14" t="str">
        <x:v>Timeline</x:v>
      </x:c>
      <x:c r="D187" s="14" t="str">
        <x:v>事件过滤与视图</x:v>
      </x:c>
      <x:c r="E187" s="14" t="str">
        <x:v>按健康/成长/行为/服务/人物等筛选时间线。</x:v>
      </x:c>
      <x:c r="F187" s="14" t="str">
        <x:v>宠主</x:v>
      </x:c>
      <x:c r="G187" s="14" t="str">
        <x:v>无/规则</x:v>
      </x:c>
      <x:c r="H187" s="14" t="str">
        <x:v>否</x:v>
      </x:c>
      <x:c r="I187" s="14" t="str">
        <x:v>TimelineFiltered</x:v>
      </x:c>
      <x:c r="J187" s="14" t="str"/>
      <x:c r="K187" s="14" t="str">
        <x:v>v0.1</x:v>
      </x:c>
      <x:c r="L187" s="14" t="str">
        <x:v>P0</x:v>
      </x:c>
      <x:c r="M187" s="14" t="n">
        <x:v>3</x:v>
      </x:c>
      <x:c r="N187" s="14" t="n">
        <x:v>5</x:v>
      </x:c>
      <x:c r="O187" s="14" t="n">
        <x:v>4</x:v>
      </x:c>
      <x:c r="P187" s="14" t="n">
        <x:v>2</x:v>
      </x:c>
      <x:c r="Q187" s="14" t="n">
        <x:v>2</x:v>
      </x:c>
      <x:c r="R187" s="14" t="n">
        <x:v>1</x:v>
      </x:c>
      <x:c r="S187" s="14" t="n">
        <x:f>ROUND(0.22*M187+0.28*N187+0.20*O187+0.15*P187+0.08*(6-Q187)+0.07*(6-R187),2)</x:f>
        <x:v>3.83</x:v>
      </x:c>
      <x:c r="T187" s="14" t="str">
        <x:v>低</x:v>
      </x:c>
      <x:c r="U187" s="25"/>
      <x:c r="V187" s="25"/>
      <x:c r="W187" s="25"/>
      <x:c r="X187" s="25"/>
      <x:c r="Y187" s="25"/>
      <x:c r="Z187" s="25"/>
    </x:row>
    <x:row r="188">
      <x:c r="A188" s="14" t="str">
        <x:v>PLI-187</x:v>
      </x:c>
      <x:c r="B188" s="14" t="str">
        <x:v>14 Life Timeline &amp; Archive</x:v>
      </x:c>
      <x:c r="C188" s="14" t="str">
        <x:v>Milestones</x:v>
      </x:c>
      <x:c r="D188" s="14" t="str">
        <x:v>里程碑</x:v>
      </x:c>
      <x:c r="E188" s="14" t="str">
        <x:v>记录来到家的第一天、生日、技能、康复、领养、搬家等重要事件。</x:v>
      </x:c>
      <x:c r="F188" s="14" t="str">
        <x:v>宠主</x:v>
      </x:c>
      <x:c r="G188" s="14" t="str">
        <x:v>无/规则</x:v>
      </x:c>
      <x:c r="H188" s="14" t="str">
        <x:v>否</x:v>
      </x:c>
      <x:c r="I188" s="14" t="str">
        <x:v>MilestoneCreated</x:v>
      </x:c>
      <x:c r="J188" s="14" t="str"/>
      <x:c r="K188" s="14" t="str">
        <x:v>v0.2</x:v>
      </x:c>
      <x:c r="L188" s="14" t="str">
        <x:v>P1</x:v>
      </x:c>
      <x:c r="M188" s="14" t="n">
        <x:v>2</x:v>
      </x:c>
      <x:c r="N188" s="14" t="n">
        <x:v>4</x:v>
      </x:c>
      <x:c r="O188" s="14" t="n">
        <x:v>5</x:v>
      </x:c>
      <x:c r="P188" s="14" t="n">
        <x:v>2</x:v>
      </x:c>
      <x:c r="Q188" s="14" t="n">
        <x:v>2</x:v>
      </x:c>
      <x:c r="R188" s="14" t="n">
        <x:v>1</x:v>
      </x:c>
      <x:c r="S188" s="14" t="n">
        <x:f>ROUND(0.22*M188+0.28*N188+0.20*O188+0.15*P188+0.08*(6-Q188)+0.07*(6-R188),2)</x:f>
        <x:v>3.53</x:v>
      </x:c>
      <x:c r="T188" s="14" t="str">
        <x:v>低</x:v>
      </x:c>
      <x:c r="U188" s="25"/>
      <x:c r="V188" s="25"/>
      <x:c r="W188" s="25"/>
      <x:c r="X188" s="25"/>
      <x:c r="Y188" s="25"/>
      <x:c r="Z188" s="25"/>
    </x:row>
    <x:row r="189">
      <x:c r="A189" s="14" t="str">
        <x:v>PLI-188</x:v>
      </x:c>
      <x:c r="B189" s="14" t="str">
        <x:v>14 Life Timeline &amp; Archive</x:v>
      </x:c>
      <x:c r="C189" s="14" t="str">
        <x:v>Memories</x:v>
      </x:c>
      <x:c r="D189" s="14" t="str">
        <x:v>照片/视频/声音回忆</x:v>
      </x:c>
      <x:c r="E189" s="14" t="str">
        <x:v>媒体必须与真实事件或时间范围关联，保留原始文件。</x:v>
      </x:c>
      <x:c r="F189" s="14" t="str">
        <x:v>宠主</x:v>
      </x:c>
      <x:c r="G189" s="14" t="str">
        <x:v>无/规则</x:v>
      </x:c>
      <x:c r="H189" s="14" t="str">
        <x:v>否</x:v>
      </x:c>
      <x:c r="I189" s="14" t="str">
        <x:v>MemoryArtifactAdded</x:v>
      </x:c>
      <x:c r="J189" s="14" t="str"/>
      <x:c r="K189" s="14" t="str">
        <x:v>v0.2</x:v>
      </x:c>
      <x:c r="L189" s="14" t="str">
        <x:v>P1</x:v>
      </x:c>
      <x:c r="M189" s="14" t="n">
        <x:v>3</x:v>
      </x:c>
      <x:c r="N189" s="14" t="n">
        <x:v>5</x:v>
      </x:c>
      <x:c r="O189" s="14" t="n">
        <x:v>5</x:v>
      </x:c>
      <x:c r="P189" s="14" t="n">
        <x:v>2</x:v>
      </x:c>
      <x:c r="Q189" s="14" t="n">
        <x:v>3</x:v>
      </x:c>
      <x:c r="R189" s="14" t="n">
        <x:v>2</x:v>
      </x:c>
      <x:c r="S189" s="14" t="n">
        <x:f>ROUND(0.22*M189+0.28*N189+0.20*O189+0.15*P189+0.08*(6-Q189)+0.07*(6-R189),2)</x:f>
        <x:v>3.88</x:v>
      </x:c>
      <x:c r="T189" s="14" t="str">
        <x:v>低</x:v>
      </x:c>
      <x:c r="U189" s="25"/>
      <x:c r="V189" s="25"/>
      <x:c r="W189" s="25"/>
      <x:c r="X189" s="25"/>
      <x:c r="Y189" s="25"/>
      <x:c r="Z189" s="25"/>
    </x:row>
    <x:row r="190">
      <x:c r="A190" s="14" t="str">
        <x:v>PLI-189</x:v>
      </x:c>
      <x:c r="B190" s="14" t="str">
        <x:v>14 Life Timeline &amp; Archive</x:v>
      </x:c>
      <x:c r="C190" s="14" t="str">
        <x:v>Annual</x:v>
      </x:c>
      <x:c r="D190" s="14" t="str">
        <x:v>年度回顾</x:v>
      </x:c>
      <x:c r="E190" s="14" t="str">
        <x:v>仅使用真实事件生成年度总结、变化与回忆，不虚构宠物内心独白。</x:v>
      </x:c>
      <x:c r="F190" s="14" t="str">
        <x:v>宠主</x:v>
      </x:c>
      <x:c r="G190" s="14" t="str">
        <x:v>叙事摘要</x:v>
      </x:c>
      <x:c r="H190" s="14" t="str">
        <x:v>是</x:v>
      </x:c>
      <x:c r="I190" s="14" t="str">
        <x:v>AnnualReviewGenerated</x:v>
      </x:c>
      <x:c r="J190" s="14" t="str"/>
      <x:c r="K190" s="14" t="str">
        <x:v>v1.0</x:v>
      </x:c>
      <x:c r="L190" s="14" t="str">
        <x:v>P2</x:v>
      </x:c>
      <x:c r="M190" s="14" t="n">
        <x:v>1</x:v>
      </x:c>
      <x:c r="N190" s="14" t="n">
        <x:v>5</x:v>
      </x:c>
      <x:c r="O190" s="14" t="n">
        <x:v>4</x:v>
      </x:c>
      <x:c r="P190" s="14" t="n">
        <x:v>3</x:v>
      </x:c>
      <x:c r="Q190" s="14" t="n">
        <x:v>4</x:v>
      </x:c>
      <x:c r="R190" s="14" t="n">
        <x:v>2</x:v>
      </x:c>
      <x:c r="S190" s="14" t="n">
        <x:f>ROUND(0.22*M190+0.28*N190+0.20*O190+0.15*P190+0.08*(6-Q190)+0.07*(6-R190),2)</x:f>
        <x:v>3.31</x:v>
      </x:c>
      <x:c r="T190" s="14" t="str">
        <x:v>低</x:v>
      </x:c>
      <x:c r="U190" s="25"/>
      <x:c r="V190" s="25"/>
      <x:c r="W190" s="25"/>
      <x:c r="X190" s="25"/>
      <x:c r="Y190" s="25"/>
      <x:c r="Z190" s="25"/>
    </x:row>
    <x:row r="191">
      <x:c r="A191" s="14" t="str">
        <x:v>PLI-190</x:v>
      </x:c>
      <x:c r="B191" s="14" t="str">
        <x:v>14 Life Timeline &amp; Archive</x:v>
      </x:c>
      <x:c r="C191" s="14" t="str">
        <x:v>Search</x:v>
      </x:c>
      <x:c r="D191" s="14" t="str">
        <x:v>时间线语义搜索</x:v>
      </x:c>
      <x:c r="E191" s="14" t="str">
        <x:v>按“上次拉肚子”“第一次见Max”等自然语言查找历史。</x:v>
      </x:c>
      <x:c r="F191" s="14" t="str">
        <x:v>宠主</x:v>
      </x:c>
      <x:c r="G191" s="14" t="str">
        <x:v>RAG/检索</x:v>
      </x:c>
      <x:c r="H191" s="14" t="str">
        <x:v>是</x:v>
      </x:c>
      <x:c r="I191" s="14" t="str">
        <x:v>LifeSearch</x:v>
      </x:c>
      <x:c r="J191" s="14" t="str"/>
      <x:c r="K191" s="14" t="str">
        <x:v>v0.2</x:v>
      </x:c>
      <x:c r="L191" s="14" t="str">
        <x:v>P1</x:v>
      </x:c>
      <x:c r="M191" s="14" t="n">
        <x:v>3</x:v>
      </x:c>
      <x:c r="N191" s="14" t="n">
        <x:v>5</x:v>
      </x:c>
      <x:c r="O191" s="14" t="n">
        <x:v>5</x:v>
      </x:c>
      <x:c r="P191" s="14" t="n">
        <x:v>3</x:v>
      </x:c>
      <x:c r="Q191" s="14" t="n">
        <x:v>4</x:v>
      </x:c>
      <x:c r="R191" s="14" t="n">
        <x:v>2</x:v>
      </x:c>
      <x:c r="S191" s="14" t="n">
        <x:f>ROUND(0.22*M191+0.28*N191+0.20*O191+0.15*P191+0.08*(6-Q191)+0.07*(6-R191),2)</x:f>
        <x:v>3.95</x:v>
      </x:c>
      <x:c r="T191" s="14" t="str">
        <x:v>低</x:v>
      </x:c>
      <x:c r="U191" s="25"/>
      <x:c r="V191" s="25"/>
      <x:c r="W191" s="25"/>
      <x:c r="X191" s="25"/>
      <x:c r="Y191" s="25"/>
      <x:c r="Z191" s="25"/>
    </x:row>
    <x:row r="192">
      <x:c r="A192" s="14" t="str">
        <x:v>PLI-191</x:v>
      </x:c>
      <x:c r="B192" s="14" t="str">
        <x:v>14 Life Timeline &amp; Archive</x:v>
      </x:c>
      <x:c r="C192" s="14" t="str">
        <x:v>Compare</x:v>
      </x:c>
      <x:c r="D192" s="14" t="str">
        <x:v>跨时期对比</x:v>
      </x:c>
      <x:c r="E192" s="14" t="str">
        <x:v>比较过去30天/去年同期的体重、活动、训练、消费等。</x:v>
      </x:c>
      <x:c r="F192" s="14" t="str">
        <x:v>宠主</x:v>
      </x:c>
      <x:c r="G192" s="14" t="str">
        <x:v>统计</x:v>
      </x:c>
      <x:c r="H192" s="14" t="str">
        <x:v>是</x:v>
      </x:c>
      <x:c r="I192" s="14" t="str">
        <x:v>PeriodCompared</x:v>
      </x:c>
      <x:c r="J192" s="14" t="str"/>
      <x:c r="K192" s="14" t="str">
        <x:v>v1.0</x:v>
      </x:c>
      <x:c r="L192" s="14" t="str">
        <x:v>P2</x:v>
      </x:c>
      <x:c r="M192" s="14" t="n">
        <x:v>2</x:v>
      </x:c>
      <x:c r="N192" s="14" t="n">
        <x:v>4</x:v>
      </x:c>
      <x:c r="O192" s="14" t="n">
        <x:v>5</x:v>
      </x:c>
      <x:c r="P192" s="14" t="n">
        <x:v>3</x:v>
      </x:c>
      <x:c r="Q192" s="14" t="n">
        <x:v>3</x:v>
      </x:c>
      <x:c r="R192" s="14" t="n">
        <x:v>1</x:v>
      </x:c>
      <x:c r="S192" s="14" t="n">
        <x:f>ROUND(0.22*M192+0.28*N192+0.20*O192+0.15*P192+0.08*(6-Q192)+0.07*(6-R192),2)</x:f>
        <x:v>3.6</x:v>
      </x:c>
      <x:c r="T192" s="14" t="str">
        <x:v>低</x:v>
      </x:c>
      <x:c r="U192" s="25"/>
      <x:c r="V192" s="25"/>
      <x:c r="W192" s="25"/>
      <x:c r="X192" s="25"/>
      <x:c r="Y192" s="25"/>
      <x:c r="Z192" s="25"/>
    </x:row>
    <x:row r="193">
      <x:c r="A193" s="14" t="str">
        <x:v>PLI-192</x:v>
      </x:c>
      <x:c r="B193" s="14" t="str">
        <x:v>14 Life Timeline &amp; Archive</x:v>
      </x:c>
      <x:c r="C193" s="14" t="str">
        <x:v>Archive</x:v>
      </x:c>
      <x:c r="D193" s="14" t="str">
        <x:v>Life Archive</x:v>
      </x:c>
      <x:c r="E193" s="14" t="str">
        <x:v>整理一生的关键事件、媒体、关系与阶段性总结，可长期保存。</x:v>
      </x:c>
      <x:c r="F193" s="14" t="str">
        <x:v>宠主</x:v>
      </x:c>
      <x:c r="G193" s="14" t="str">
        <x:v>无/规则</x:v>
      </x:c>
      <x:c r="H193" s="14" t="str">
        <x:v>否</x:v>
      </x:c>
      <x:c r="I193" s="14" t="str">
        <x:v>LifeArchiveUpdated</x:v>
      </x:c>
      <x:c r="J193" s="14" t="str"/>
      <x:c r="K193" s="14" t="str">
        <x:v>Future</x:v>
      </x:c>
      <x:c r="L193" s="14" t="str">
        <x:v>Future</x:v>
      </x:c>
      <x:c r="M193" s="14" t="n">
        <x:v>1</x:v>
      </x:c>
      <x:c r="N193" s="14" t="n">
        <x:v>5</x:v>
      </x:c>
      <x:c r="O193" s="14" t="n">
        <x:v>5</x:v>
      </x:c>
      <x:c r="P193" s="14" t="n">
        <x:v>3</x:v>
      </x:c>
      <x:c r="Q193" s="14" t="n">
        <x:v>4</x:v>
      </x:c>
      <x:c r="R193" s="14" t="n">
        <x:v>3</x:v>
      </x:c>
      <x:c r="S193" s="14" t="n">
        <x:f>ROUND(0.22*M193+0.28*N193+0.20*O193+0.15*P193+0.08*(6-Q193)+0.07*(6-R193),2)</x:f>
        <x:v>3.44</x:v>
      </x:c>
      <x:c r="T193" s="14" t="str">
        <x:v>低</x:v>
      </x:c>
      <x:c r="U193" s="25"/>
      <x:c r="V193" s="25"/>
      <x:c r="W193" s="25"/>
      <x:c r="X193" s="25"/>
      <x:c r="Y193" s="25"/>
      <x:c r="Z193" s="25"/>
    </x:row>
    <x:row r="194">
      <x:c r="A194" s="14" t="str">
        <x:v>PLI-193</x:v>
      </x:c>
      <x:c r="B194" s="14" t="str">
        <x:v>14 Life Timeline &amp; Archive</x:v>
      </x:c>
      <x:c r="C194" s="14" t="str">
        <x:v>Bereavement</x:v>
      </x:c>
      <x:c r="D194" s="14" t="str">
        <x:v>纪念模式</x:v>
      </x:c>
      <x:c r="E194" s="14" t="str">
        <x:v>离世后切换为纪念/档案模式，停止常规提醒并保护主人体验。</x:v>
      </x:c>
      <x:c r="F194" s="14" t="str">
        <x:v>宠主</x:v>
      </x:c>
      <x:c r="G194" s="14" t="str">
        <x:v>无/规则</x:v>
      </x:c>
      <x:c r="H194" s="14" t="str">
        <x:v>否</x:v>
      </x:c>
      <x:c r="I194" s="14" t="str">
        <x:v>MemorialModeEnabled</x:v>
      </x:c>
      <x:c r="J194" s="14" t="str"/>
      <x:c r="K194" s="14" t="str">
        <x:v>Future</x:v>
      </x:c>
      <x:c r="L194" s="14" t="str">
        <x:v>Future</x:v>
      </x:c>
      <x:c r="M194" s="14" t="n">
        <x:v>1</x:v>
      </x:c>
      <x:c r="N194" s="14" t="n">
        <x:v>5</x:v>
      </x:c>
      <x:c r="O194" s="14" t="n">
        <x:v>5</x:v>
      </x:c>
      <x:c r="P194" s="14" t="n">
        <x:v>2</x:v>
      </x:c>
      <x:c r="Q194" s="14" t="n">
        <x:v>4</x:v>
      </x:c>
      <x:c r="R194" s="14" t="n">
        <x:v>4</x:v>
      </x:c>
      <x:c r="S194" s="14" t="n">
        <x:f>ROUND(0.22*M194+0.28*N194+0.20*O194+0.15*P194+0.08*(6-Q194)+0.07*(6-R194),2)</x:f>
        <x:v>3.22</x:v>
      </x:c>
      <x:c r="T194" s="14" t="str">
        <x:v>中</x:v>
      </x:c>
      <x:c r="U194" s="25"/>
      <x:c r="V194" s="25"/>
      <x:c r="W194" s="25"/>
      <x:c r="X194" s="25"/>
      <x:c r="Y194" s="25"/>
      <x:c r="Z194" s="25"/>
    </x:row>
    <x:row r="195">
      <x:c r="A195" s="14" t="str">
        <x:v>PLI-194</x:v>
      </x:c>
      <x:c r="B195" s="14" t="str">
        <x:v>14 Life Timeline &amp; Archive</x:v>
      </x:c>
      <x:c r="C195" s="14" t="str">
        <x:v>Story</x:v>
      </x:c>
      <x:c r="D195" s="14" t="str">
        <x:v>生命故事生成</x:v>
      </x:c>
      <x:c r="E195" s="14" t="str">
        <x:v>基于真实资料生成可编辑的生命故事，所有推断必须可区分/删除。</x:v>
      </x:c>
      <x:c r="F195" s="14" t="str">
        <x:v>宠主</x:v>
      </x:c>
      <x:c r="G195" s="14" t="str">
        <x:v>长文生成</x:v>
      </x:c>
      <x:c r="H195" s="14" t="str">
        <x:v>是</x:v>
      </x:c>
      <x:c r="I195" s="14" t="str">
        <x:v>LifeStoryGenerated</x:v>
      </x:c>
      <x:c r="J195" s="14" t="str"/>
      <x:c r="K195" s="14" t="str">
        <x:v>Future</x:v>
      </x:c>
      <x:c r="L195" s="14" t="str">
        <x:v>Future</x:v>
      </x:c>
      <x:c r="M195" s="14" t="n">
        <x:v>1</x:v>
      </x:c>
      <x:c r="N195" s="14" t="n">
        <x:v>5</x:v>
      </x:c>
      <x:c r="O195" s="14" t="n">
        <x:v>4</x:v>
      </x:c>
      <x:c r="P195" s="14" t="n">
        <x:v>3</x:v>
      </x:c>
      <x:c r="Q195" s="14" t="n">
        <x:v>4</x:v>
      </x:c>
      <x:c r="R195" s="14" t="n">
        <x:v>4</x:v>
      </x:c>
      <x:c r="S195" s="14" t="n">
        <x:f>ROUND(0.22*M195+0.28*N195+0.20*O195+0.15*P195+0.08*(6-Q195)+0.07*(6-R195),2)</x:f>
        <x:v>3.17</x:v>
      </x:c>
      <x:c r="T195" s="14" t="str">
        <x:v>中</x:v>
      </x:c>
      <x:c r="U195" s="25"/>
      <x:c r="V195" s="25"/>
      <x:c r="W195" s="25"/>
      <x:c r="X195" s="25"/>
      <x:c r="Y195" s="25"/>
      <x:c r="Z195" s="25"/>
    </x:row>
    <x:row r="196">
      <x:c r="A196" s="14" t="str">
        <x:v>PLI-195</x:v>
      </x:c>
      <x:c r="B196" s="14" t="str">
        <x:v>14 Life Timeline &amp; Archive</x:v>
      </x:c>
      <x:c r="C196" s="14" t="str">
        <x:v>Shared</x:v>
      </x:c>
      <x:c r="D196" s="14" t="str">
        <x:v>共同回忆授权</x:v>
      </x:c>
      <x:c r="E196" s="14" t="str">
        <x:v>家庭或好友可贡献回忆，但主人控制是否进入主档。</x:v>
      </x:c>
      <x:c r="F196" s="14" t="str">
        <x:v>宠主</x:v>
      </x:c>
      <x:c r="G196" s="14" t="str">
        <x:v>无/规则</x:v>
      </x:c>
      <x:c r="H196" s="14" t="str">
        <x:v>否</x:v>
      </x:c>
      <x:c r="I196" s="14" t="str">
        <x:v>SharedMemoryApproved</x:v>
      </x:c>
      <x:c r="J196" s="14" t="str"/>
      <x:c r="K196" s="14" t="str">
        <x:v>Future</x:v>
      </x:c>
      <x:c r="L196" s="14" t="str">
        <x:v>Future</x:v>
      </x:c>
      <x:c r="M196" s="14" t="n">
        <x:v>1</x:v>
      </x:c>
      <x:c r="N196" s="14" t="n">
        <x:v>4</x:v>
      </x:c>
      <x:c r="O196" s="14" t="n">
        <x:v>4</x:v>
      </x:c>
      <x:c r="P196" s="14" t="n">
        <x:v>2</x:v>
      </x:c>
      <x:c r="Q196" s="14" t="n">
        <x:v>3</x:v>
      </x:c>
      <x:c r="R196" s="14" t="n">
        <x:v>3</x:v>
      </x:c>
      <x:c r="S196" s="14" t="n">
        <x:f>ROUND(0.22*M196+0.28*N196+0.20*O196+0.15*P196+0.08*(6-Q196)+0.07*(6-R196),2)</x:f>
        <x:v>2.89</x:v>
      </x:c>
      <x:c r="T196" s="14" t="str">
        <x:v>低</x:v>
      </x:c>
      <x:c r="U196" s="25"/>
      <x:c r="V196" s="25"/>
      <x:c r="W196" s="25"/>
      <x:c r="X196" s="25"/>
      <x:c r="Y196" s="25"/>
      <x:c r="Z196" s="25"/>
    </x:row>
    <x:row r="197">
      <x:c r="A197" s="14" t="str">
        <x:v>PLI-196</x:v>
      </x:c>
      <x:c r="B197" s="14" t="str">
        <x:v>14 Life Timeline &amp; Archive</x:v>
      </x:c>
      <x:c r="C197" s="14" t="str">
        <x:v>Portability</x:v>
      </x:c>
      <x:c r="D197" s="14" t="str">
        <x:v>长期档案导出</x:v>
      </x:c>
      <x:c r="E197" s="14" t="str">
        <x:v>完整导出时间线索引、媒体manifest、关系和关键摘要。</x:v>
      </x:c>
      <x:c r="F197" s="14" t="str">
        <x:v>宠主</x:v>
      </x:c>
      <x:c r="G197" s="14" t="str">
        <x:v>无/规则</x:v>
      </x:c>
      <x:c r="H197" s="14" t="str">
        <x:v>否</x:v>
      </x:c>
      <x:c r="I197" s="14" t="str">
        <x:v>LifeArchiveExported</x:v>
      </x:c>
      <x:c r="J197" s="14" t="str"/>
      <x:c r="K197" s="14" t="str">
        <x:v>Future</x:v>
      </x:c>
      <x:c r="L197" s="14" t="str">
        <x:v>Future</x:v>
      </x:c>
      <x:c r="M197" s="14" t="n">
        <x:v>1</x:v>
      </x:c>
      <x:c r="N197" s="14" t="n">
        <x:v>5</x:v>
      </x:c>
      <x:c r="O197" s="14" t="n">
        <x:v>5</x:v>
      </x:c>
      <x:c r="P197" s="14" t="n">
        <x:v>2</x:v>
      </x:c>
      <x:c r="Q197" s="14" t="n">
        <x:v>4</x:v>
      </x:c>
      <x:c r="R197" s="14" t="n">
        <x:v>3</x:v>
      </x:c>
      <x:c r="S197" s="14" t="n">
        <x:f>ROUND(0.22*M197+0.28*N197+0.20*O197+0.15*P197+0.08*(6-Q197)+0.07*(6-R197),2)</x:f>
        <x:v>3.29</x:v>
      </x:c>
      <x:c r="T197" s="14" t="str">
        <x:v>低</x:v>
      </x:c>
      <x:c r="U197" s="25"/>
      <x:c r="V197" s="25"/>
      <x:c r="W197" s="25"/>
      <x:c r="X197" s="25"/>
      <x:c r="Y197" s="25"/>
      <x:c r="Z197" s="25"/>
    </x:row>
    <x:row r="198">
      <x:c r="A198" s="14" t="str">
        <x:v>PLI-197</x:v>
      </x:c>
      <x:c r="B198" s="14" t="str">
        <x:v>15 Pet Agent &amp; Search</x:v>
      </x:c>
      <x:c r="C198" s="14" t="str">
        <x:v>Ask</x:v>
      </x:c>
      <x:c r="D198" s="14" t="str">
        <x:v>宠物个人问答</x:v>
      </x:c>
      <x:c r="E198" s="14" t="str">
        <x:v>基于该宠物真实数据回答“上次发生什么时候”等问题，并给来源事件。</x:v>
      </x:c>
      <x:c r="F198" s="14" t="str">
        <x:v>宠主</x:v>
      </x:c>
      <x:c r="G198" s="14" t="str">
        <x:v>RAG</x:v>
      </x:c>
      <x:c r="H198" s="14" t="str">
        <x:v>是</x:v>
      </x:c>
      <x:c r="I198" s="14" t="str">
        <x:v>AgentQuery</x:v>
      </x:c>
      <x:c r="J198" s="14" t="str"/>
      <x:c r="K198" s="14" t="str">
        <x:v>v0.2</x:v>
      </x:c>
      <x:c r="L198" s="14" t="str">
        <x:v>P1</x:v>
      </x:c>
      <x:c r="M198" s="14" t="n">
        <x:v>4</x:v>
      </x:c>
      <x:c r="N198" s="14" t="n">
        <x:v>5</x:v>
      </x:c>
      <x:c r="O198" s="14" t="n">
        <x:v>5</x:v>
      </x:c>
      <x:c r="P198" s="14" t="n">
        <x:v>3</x:v>
      </x:c>
      <x:c r="Q198" s="14" t="n">
        <x:v>4</x:v>
      </x:c>
      <x:c r="R198" s="14" t="n">
        <x:v>3</x:v>
      </x:c>
      <x:c r="S198" s="14" t="n">
        <x:f>ROUND(0.22*M198+0.28*N198+0.20*O198+0.15*P198+0.08*(6-Q198)+0.07*(6-R198),2)</x:f>
        <x:v>4.1</x:v>
      </x:c>
      <x:c r="T198" s="14" t="str">
        <x:v>低</x:v>
      </x:c>
      <x:c r="U198" s="25"/>
      <x:c r="V198" s="25"/>
      <x:c r="W198" s="25"/>
      <x:c r="X198" s="25"/>
      <x:c r="Y198" s="25"/>
      <x:c r="Z198" s="25"/>
    </x:row>
    <x:row r="199">
      <x:c r="A199" s="14" t="str">
        <x:v>PLI-198</x:v>
      </x:c>
      <x:c r="B199" s="14" t="str">
        <x:v>15 Pet Agent &amp; Search</x:v>
      </x:c>
      <x:c r="C199" s="14" t="str">
        <x:v>Search</x:v>
      </x:c>
      <x:c r="D199" s="14" t="str">
        <x:v>跨域语义搜索</x:v>
      </x:c>
      <x:c r="E199" s="14" t="str">
        <x:v>统一检索健康、日常、训练、服务、消费、关系和媒体。</x:v>
      </x:c>
      <x:c r="F199" s="14" t="str">
        <x:v>宠主</x:v>
      </x:c>
      <x:c r="G199" s="14" t="str">
        <x:v>检索/排序</x:v>
      </x:c>
      <x:c r="H199" s="14" t="str">
        <x:v>是</x:v>
      </x:c>
      <x:c r="I199" s="14" t="str">
        <x:v>SearchQuery</x:v>
      </x:c>
      <x:c r="J199" s="14" t="str"/>
      <x:c r="K199" s="14" t="str">
        <x:v>v0.2</x:v>
      </x:c>
      <x:c r="L199" s="14" t="str">
        <x:v>P1</x:v>
      </x:c>
      <x:c r="M199" s="14" t="n">
        <x:v>4</x:v>
      </x:c>
      <x:c r="N199" s="14" t="n">
        <x:v>5</x:v>
      </x:c>
      <x:c r="O199" s="14" t="n">
        <x:v>5</x:v>
      </x:c>
      <x:c r="P199" s="14" t="n">
        <x:v>3</x:v>
      </x:c>
      <x:c r="Q199" s="14" t="n">
        <x:v>4</x:v>
      </x:c>
      <x:c r="R199" s="14" t="n">
        <x:v>2</x:v>
      </x:c>
      <x:c r="S199" s="14" t="n">
        <x:f>ROUND(0.22*M199+0.28*N199+0.20*O199+0.15*P199+0.08*(6-Q199)+0.07*(6-R199),2)</x:f>
        <x:v>4.17</x:v>
      </x:c>
      <x:c r="T199" s="14" t="str">
        <x:v>低</x:v>
      </x:c>
      <x:c r="U199" s="25"/>
      <x:c r="V199" s="25"/>
      <x:c r="W199" s="25"/>
      <x:c r="X199" s="25"/>
      <x:c r="Y199" s="25"/>
      <x:c r="Z199" s="25"/>
    </x:row>
    <x:row r="200">
      <x:c r="A200" s="14" t="str">
        <x:v>PLI-199</x:v>
      </x:c>
      <x:c r="B200" s="14" t="str">
        <x:v>15 Pet Agent &amp; Search</x:v>
      </x:c>
      <x:c r="C200" s="14" t="str">
        <x:v>Explain</x:v>
      </x:c>
      <x:c r="D200" s="14" t="str">
        <x:v>为什么发生提示</x:v>
      </x:c>
      <x:c r="E200" s="14" t="str">
        <x:v>对趋势/提醒显示证据、来源和不确定性，不隐藏模型推断链。</x:v>
      </x:c>
      <x:c r="F200" s="14" t="str">
        <x:v>宠主</x:v>
      </x:c>
      <x:c r="G200" s="14" t="str">
        <x:v>解释</x:v>
      </x:c>
      <x:c r="H200" s="14" t="str">
        <x:v>是</x:v>
      </x:c>
      <x:c r="I200" s="14" t="str">
        <x:v>ExplanationGenerated</x:v>
      </x:c>
      <x:c r="J200" s="14" t="str"/>
      <x:c r="K200" s="14" t="str">
        <x:v>v0.2</x:v>
      </x:c>
      <x:c r="L200" s="14" t="str">
        <x:v>P1</x:v>
      </x:c>
      <x:c r="M200" s="14" t="n">
        <x:v>3</x:v>
      </x:c>
      <x:c r="N200" s="14" t="n">
        <x:v>5</x:v>
      </x:c>
      <x:c r="O200" s="14" t="n">
        <x:v>4</x:v>
      </x:c>
      <x:c r="P200" s="14" t="n">
        <x:v>2</x:v>
      </x:c>
      <x:c r="Q200" s="14" t="n">
        <x:v>4</x:v>
      </x:c>
      <x:c r="R200" s="14" t="n">
        <x:v>3</x:v>
      </x:c>
      <x:c r="S200" s="14" t="n">
        <x:f>ROUND(0.22*M200+0.28*N200+0.20*O200+0.15*P200+0.08*(6-Q200)+0.07*(6-R200),2)</x:f>
        <x:v>3.53</x:v>
      </x:c>
      <x:c r="T200" s="14" t="str">
        <x:v>低</x:v>
      </x:c>
      <x:c r="U200" s="25"/>
      <x:c r="V200" s="25"/>
      <x:c r="W200" s="25"/>
      <x:c r="X200" s="25"/>
      <x:c r="Y200" s="25"/>
      <x:c r="Z200" s="25"/>
    </x:row>
    <x:row r="201">
      <x:c r="A201" s="14" t="str">
        <x:v>PLI-200</x:v>
      </x:c>
      <x:c r="B201" s="14" t="str">
        <x:v>15 Pet Agent &amp; Search</x:v>
      </x:c>
      <x:c r="C201" s="14" t="str">
        <x:v>Plan</x:v>
      </x:c>
      <x:c r="D201" s="14" t="str">
        <x:v>低风险任务计划</x:v>
      </x:c>
      <x:c r="E201" s="14" t="str">
        <x:v>根据“明天去寄养”等目标生成清单和时间安排，但不自动外发/购买。</x:v>
      </x:c>
      <x:c r="F201" s="14" t="str">
        <x:v>宠主</x:v>
      </x:c>
      <x:c r="G201" s="14" t="str">
        <x:v>规划</x:v>
      </x:c>
      <x:c r="H201" s="14" t="str">
        <x:v>是</x:v>
      </x:c>
      <x:c r="I201" s="14" t="str">
        <x:v>AgentPlanCreated</x:v>
      </x:c>
      <x:c r="J201" s="14" t="str"/>
      <x:c r="K201" s="14" t="str">
        <x:v>v0.2</x:v>
      </x:c>
      <x:c r="L201" s="14" t="str">
        <x:v>P1</x:v>
      </x:c>
      <x:c r="M201" s="14" t="n">
        <x:v>3</x:v>
      </x:c>
      <x:c r="N201" s="14" t="n">
        <x:v>5</x:v>
      </x:c>
      <x:c r="O201" s="14" t="n">
        <x:v>4</x:v>
      </x:c>
      <x:c r="P201" s="14" t="n">
        <x:v>3</x:v>
      </x:c>
      <x:c r="Q201" s="14" t="n">
        <x:v>4</x:v>
      </x:c>
      <x:c r="R201" s="14" t="n">
        <x:v>3</x:v>
      </x:c>
      <x:c r="S201" s="14" t="n">
        <x:f>ROUND(0.22*M201+0.28*N201+0.20*O201+0.15*P201+0.08*(6-Q201)+0.07*(6-R201),2)</x:f>
        <x:v>3.68</x:v>
      </x:c>
      <x:c r="T201" s="14" t="str">
        <x:v>低</x:v>
      </x:c>
      <x:c r="U201" s="25"/>
      <x:c r="V201" s="25"/>
      <x:c r="W201" s="25"/>
      <x:c r="X201" s="25"/>
      <x:c r="Y201" s="25"/>
      <x:c r="Z201" s="25"/>
    </x:row>
    <x:row r="202">
      <x:c r="A202" s="14" t="str">
        <x:v>PLI-201</x:v>
      </x:c>
      <x:c r="B202" s="14" t="str">
        <x:v>15 Pet Agent &amp; Search</x:v>
      </x:c>
      <x:c r="C202" s="14" t="str">
        <x:v>Orchestration</x:v>
      </x:c>
      <x:c r="D202" s="14" t="str">
        <x:v>跨域照护编排</x:v>
      </x:c>
      <x:c r="E202" s="14" t="str">
        <x:v>把Care Card、任务、用品、联系人、设备状态整合为一个照护流程。</x:v>
      </x:c>
      <x:c r="F202" s="14" t="str">
        <x:v>宠主</x:v>
      </x:c>
      <x:c r="G202" s="14" t="str">
        <x:v>Agent编排</x:v>
      </x:c>
      <x:c r="H202" s="14" t="str">
        <x:v>是</x:v>
      </x:c>
      <x:c r="I202" s="14" t="str">
        <x:v>WorkflowCreated</x:v>
      </x:c>
      <x:c r="J202" s="14" t="str"/>
      <x:c r="K202" s="14" t="str">
        <x:v>v1.0</x:v>
      </x:c>
      <x:c r="L202" s="14" t="str">
        <x:v>P2</x:v>
      </x:c>
      <x:c r="M202" s="14" t="n">
        <x:v>3</x:v>
      </x:c>
      <x:c r="N202" s="14" t="n">
        <x:v>5</x:v>
      </x:c>
      <x:c r="O202" s="14" t="n">
        <x:v>5</x:v>
      </x:c>
      <x:c r="P202" s="14" t="n">
        <x:v>4</x:v>
      </x:c>
      <x:c r="Q202" s="14" t="n">
        <x:v>5</x:v>
      </x:c>
      <x:c r="R202" s="14" t="n">
        <x:v>4</x:v>
      </x:c>
      <x:c r="S202" s="14" t="n">
        <x:f>ROUND(0.22*M202+0.28*N202+0.20*O202+0.15*P202+0.08*(6-Q202)+0.07*(6-R202),2)</x:f>
        <x:v>3.88</x:v>
      </x:c>
      <x:c r="T202" s="14" t="str">
        <x:v>低</x:v>
      </x:c>
      <x:c r="U202" s="25"/>
      <x:c r="V202" s="25"/>
      <x:c r="W202" s="25"/>
      <x:c r="X202" s="25"/>
      <x:c r="Y202" s="25"/>
      <x:c r="Z202" s="25"/>
    </x:row>
    <x:row r="203">
      <x:c r="A203" s="14" t="str">
        <x:v>PLI-202</x:v>
      </x:c>
      <x:c r="B203" s="14" t="str">
        <x:v>15 Pet Agent &amp; Search</x:v>
      </x:c>
      <x:c r="C203" s="14" t="str">
        <x:v>Actions</x:v>
      </x:c>
      <x:c r="D203" s="14" t="str">
        <x:v>预约类动作确认</x:v>
      </x:c>
      <x:c r="E203" s="14" t="str">
        <x:v>Agent可准备预约信息，但提交预约前要求明确确认。</x:v>
      </x:c>
      <x:c r="F203" s="14" t="str">
        <x:v>宠主</x:v>
      </x:c>
      <x:c r="G203" s="14" t="str">
        <x:v>Agent动作</x:v>
      </x:c>
      <x:c r="H203" s="14" t="str">
        <x:v>是</x:v>
      </x:c>
      <x:c r="I203" s="14" t="str">
        <x:v>ActionApprovalRequested</x:v>
      </x:c>
      <x:c r="J203" s="14" t="str"/>
      <x:c r="K203" s="14" t="str">
        <x:v>v1.0</x:v>
      </x:c>
      <x:c r="L203" s="14" t="str">
        <x:v>P2</x:v>
      </x:c>
      <x:c r="M203" s="14" t="n">
        <x:v>2</x:v>
      </x:c>
      <x:c r="N203" s="14" t="n">
        <x:v>5</x:v>
      </x:c>
      <x:c r="O203" s="14" t="n">
        <x:v>4</x:v>
      </x:c>
      <x:c r="P203" s="14" t="n">
        <x:v>4</x:v>
      </x:c>
      <x:c r="Q203" s="14" t="n">
        <x:v>4</x:v>
      </x:c>
      <x:c r="R203" s="14" t="n">
        <x:v>4</x:v>
      </x:c>
      <x:c r="S203" s="14" t="n">
        <x:f>ROUND(0.22*M203+0.28*N203+0.20*O203+0.15*P203+0.08*(6-Q203)+0.07*(6-R203),2)</x:f>
        <x:v>3.54</x:v>
      </x:c>
      <x:c r="T203" s="14" t="str">
        <x:v>中</x:v>
      </x:c>
      <x:c r="U203" s="25"/>
      <x:c r="V203" s="25"/>
      <x:c r="W203" s="25"/>
      <x:c r="X203" s="25"/>
      <x:c r="Y203" s="25"/>
      <x:c r="Z203" s="25"/>
    </x:row>
    <x:row r="204">
      <x:c r="A204" s="14" t="str">
        <x:v>PLI-203</x:v>
      </x:c>
      <x:c r="B204" s="14" t="str">
        <x:v>15 Pet Agent &amp; Search</x:v>
      </x:c>
      <x:c r="C204" s="14" t="str">
        <x:v>Actions</x:v>
      </x:c>
      <x:c r="D204" s="14" t="str">
        <x:v>购买类动作确认</x:v>
      </x:c>
      <x:c r="E204" s="14" t="str">
        <x:v>Agent可准备购物车/补货建议，但付款前始终确认。</x:v>
      </x:c>
      <x:c r="F204" s="14" t="str">
        <x:v>宠主</x:v>
      </x:c>
      <x:c r="G204" s="14" t="str">
        <x:v>Agent动作</x:v>
      </x:c>
      <x:c r="H204" s="14" t="str">
        <x:v>是</x:v>
      </x:c>
      <x:c r="I204" s="14" t="str">
        <x:v>ActionApprovalRequested</x:v>
      </x:c>
      <x:c r="J204" s="14" t="str"/>
      <x:c r="K204" s="14" t="str">
        <x:v>Future</x:v>
      </x:c>
      <x:c r="L204" s="14" t="str">
        <x:v>Future</x:v>
      </x:c>
      <x:c r="M204" s="14" t="n">
        <x:v>2</x:v>
      </x:c>
      <x:c r="N204" s="14" t="n">
        <x:v>4</x:v>
      </x:c>
      <x:c r="O204" s="14" t="n">
        <x:v>4</x:v>
      </x:c>
      <x:c r="P204" s="14" t="n">
        <x:v>5</x:v>
      </x:c>
      <x:c r="Q204" s="14" t="n">
        <x:v>4</x:v>
      </x:c>
      <x:c r="R204" s="14" t="n">
        <x:v>5</x:v>
      </x:c>
      <x:c r="S204" s="14" t="n">
        <x:f>ROUND(0.22*M204+0.28*N204+0.20*O204+0.15*P204+0.08*(6-Q204)+0.07*(6-R204),2)</x:f>
        <x:v>3.34</x:v>
      </x:c>
      <x:c r="T204" s="14" t="str">
        <x:v>高</x:v>
      </x:c>
      <x:c r="U204" s="25"/>
      <x:c r="V204" s="25"/>
      <x:c r="W204" s="25"/>
      <x:c r="X204" s="25"/>
      <x:c r="Y204" s="25"/>
      <x:c r="Z204" s="25"/>
    </x:row>
    <x:row r="205">
      <x:c r="A205" s="14" t="str">
        <x:v>PLI-204</x:v>
      </x:c>
      <x:c r="B205" s="14" t="str">
        <x:v>15 Pet Agent &amp; Search</x:v>
      </x:c>
      <x:c r="C205" s="14" t="str">
        <x:v>Actions</x:v>
      </x:c>
      <x:c r="D205" s="14" t="str">
        <x:v>医疗动作硬边界</x:v>
      </x:c>
      <x:c r="E205" s="14" t="str">
        <x:v>Agent不得自行改药、停药、开处方或代替兽医形成确定诊断。</x:v>
      </x:c>
      <x:c r="F205" s="14" t="str">
        <x:v>宠主</x:v>
      </x:c>
      <x:c r="G205" s="14" t="str">
        <x:v>安全策略</x:v>
      </x:c>
      <x:c r="H205" s="14" t="str">
        <x:v>是</x:v>
      </x:c>
      <x:c r="I205" s="14" t="str">
        <x:v>SafetyPolicyApplied</x:v>
      </x:c>
      <x:c r="J205" s="14" t="str"/>
      <x:c r="K205" s="14" t="str">
        <x:v>v0.1</x:v>
      </x:c>
      <x:c r="L205" s="14" t="str">
        <x:v>P0</x:v>
      </x:c>
      <x:c r="M205" s="14" t="n">
        <x:v>1</x:v>
      </x:c>
      <x:c r="N205" s="14" t="n">
        <x:v>5</x:v>
      </x:c>
      <x:c r="O205" s="14" t="n">
        <x:v>4</x:v>
      </x:c>
      <x:c r="P205" s="14" t="n">
        <x:v>1</x:v>
      </x:c>
      <x:c r="Q205" s="14" t="n">
        <x:v>3</x:v>
      </x:c>
      <x:c r="R205" s="14" t="n">
        <x:v>5</x:v>
      </x:c>
      <x:c r="S205" s="14" t="n">
        <x:f>ROUND(0.22*M205+0.28*N205+0.20*O205+0.15*P205+0.08*(6-Q205)+0.07*(6-R205),2)</x:f>
        <x:v>2.88</x:v>
      </x:c>
      <x:c r="T205" s="14" t="str">
        <x:v>高</x:v>
      </x:c>
      <x:c r="U205" s="25"/>
      <x:c r="V205" s="25"/>
      <x:c r="W205" s="25"/>
      <x:c r="X205" s="25"/>
      <x:c r="Y205" s="25"/>
      <x:c r="Z205" s="25"/>
    </x:row>
    <x:row r="206">
      <x:c r="A206" s="14" t="str">
        <x:v>PLI-205</x:v>
      </x:c>
      <x:c r="B206" s="14" t="str">
        <x:v>15 Pet Agent &amp; Search</x:v>
      </x:c>
      <x:c r="C206" s="14" t="str">
        <x:v>Memory</x:v>
      </x:c>
      <x:c r="D206" s="14" t="str">
        <x:v>结构化长期记忆</x:v>
      </x:c>
      <x:c r="E206" s="14" t="str">
        <x:v>Agent只从已授权Pet Life Graph读取长期事实，不以无来源聊天记忆覆盖档案。</x:v>
      </x:c>
      <x:c r="F206" s="14" t="str">
        <x:v>宠主</x:v>
      </x:c>
      <x:c r="G206" s="14" t="str">
        <x:v>记忆/RAG</x:v>
      </x:c>
      <x:c r="H206" s="14" t="str">
        <x:v>是</x:v>
      </x:c>
      <x:c r="I206" s="14" t="str">
        <x:v>MemoryFactReferenced</x:v>
      </x:c>
      <x:c r="J206" s="14" t="str"/>
      <x:c r="K206" s="14" t="str">
        <x:v>v0.2</x:v>
      </x:c>
      <x:c r="L206" s="14" t="str">
        <x:v>P1</x:v>
      </x:c>
      <x:c r="M206" s="14" t="n">
        <x:v>4</x:v>
      </x:c>
      <x:c r="N206" s="14" t="n">
        <x:v>5</x:v>
      </x:c>
      <x:c r="O206" s="14" t="n">
        <x:v>5</x:v>
      </x:c>
      <x:c r="P206" s="14" t="n">
        <x:v>3</x:v>
      </x:c>
      <x:c r="Q206" s="14" t="n">
        <x:v>4</x:v>
      </x:c>
      <x:c r="R206" s="14" t="n">
        <x:v>4</x:v>
      </x:c>
      <x:c r="S206" s="14" t="n">
        <x:f>ROUND(0.22*M206+0.28*N206+0.20*O206+0.15*P206+0.08*(6-Q206)+0.07*(6-R206),2)</x:f>
        <x:v>4.03</x:v>
      </x:c>
      <x:c r="T206" s="14" t="str">
        <x:v>低</x:v>
      </x:c>
      <x:c r="U206" s="25"/>
      <x:c r="V206" s="25"/>
      <x:c r="W206" s="25"/>
      <x:c r="X206" s="25"/>
      <x:c r="Y206" s="25"/>
      <x:c r="Z206" s="25"/>
    </x:row>
    <x:row r="207">
      <x:c r="A207" s="14" t="str">
        <x:v>PLI-206</x:v>
      </x:c>
      <x:c r="B207" s="14" t="str">
        <x:v>15 Pet Agent &amp; Search</x:v>
      </x:c>
      <x:c r="C207" s="14" t="str">
        <x:v>Proactive</x:v>
      </x:c>
      <x:c r="D207" s="14" t="str">
        <x:v>事件驱动主动提醒</x:v>
      </x:c>
      <x:c r="E207" s="14" t="str">
        <x:v>由任务、设备、时间线和规则触发主动提示，而非无限主动聊天。</x:v>
      </x:c>
      <x:c r="F207" s="14" t="str">
        <x:v>宠主</x:v>
      </x:c>
      <x:c r="G207" s="14" t="str">
        <x:v>规则+排序</x:v>
      </x:c>
      <x:c r="H207" s="14" t="str">
        <x:v>是</x:v>
      </x:c>
      <x:c r="I207" s="14" t="str">
        <x:v>ProactiveAlert</x:v>
      </x:c>
      <x:c r="J207" s="14" t="str"/>
      <x:c r="K207" s="14" t="str">
        <x:v>v1.0</x:v>
      </x:c>
      <x:c r="L207" s="14" t="str">
        <x:v>P2</x:v>
      </x:c>
      <x:c r="M207" s="14" t="n">
        <x:v>4</x:v>
      </x:c>
      <x:c r="N207" s="14" t="n">
        <x:v>5</x:v>
      </x:c>
      <x:c r="O207" s="14" t="n">
        <x:v>5</x:v>
      </x:c>
      <x:c r="P207" s="14" t="n">
        <x:v>4</x:v>
      </x:c>
      <x:c r="Q207" s="14" t="n">
        <x:v>4</x:v>
      </x:c>
      <x:c r="R207" s="14" t="n">
        <x:v>4</x:v>
      </x:c>
      <x:c r="S207" s="14" t="n">
        <x:f>ROUND(0.22*M207+0.28*N207+0.20*O207+0.15*P207+0.08*(6-Q207)+0.07*(6-R207),2)</x:f>
        <x:v>4.18</x:v>
      </x:c>
      <x:c r="T207" s="14" t="str">
        <x:v>低</x:v>
      </x:c>
      <x:c r="U207" s="25"/>
      <x:c r="V207" s="25"/>
      <x:c r="W207" s="25"/>
      <x:c r="X207" s="25"/>
      <x:c r="Y207" s="25"/>
      <x:c r="Z207" s="25"/>
    </x:row>
    <x:row r="208">
      <x:c r="A208" s="14" t="str">
        <x:v>PLI-207</x:v>
      </x:c>
      <x:c r="B208" s="14" t="str">
        <x:v>15 Pet Agent &amp; Search</x:v>
      </x:c>
      <x:c r="C208" s="14" t="str">
        <x:v>Proactive</x:v>
      </x:c>
      <x:c r="D208" s="14" t="str">
        <x:v>提醒降噪与合并</x:v>
      </x:c>
      <x:c r="E208" s="14" t="str">
        <x:v>同一根因相关提醒合并，并学习主人偏好避免提醒疲劳。</x:v>
      </x:c>
      <x:c r="F208" s="14" t="str">
        <x:v>宠主</x:v>
      </x:c>
      <x:c r="G208" s="14" t="str">
        <x:v>排序/聚合</x:v>
      </x:c>
      <x:c r="H208" s="14" t="str">
        <x:v>是</x:v>
      </x:c>
      <x:c r="I208" s="14" t="str">
        <x:v>AlertBundled</x:v>
      </x:c>
      <x:c r="J208" s="14" t="str"/>
      <x:c r="K208" s="14" t="str">
        <x:v>v1.0</x:v>
      </x:c>
      <x:c r="L208" s="14" t="str">
        <x:v>P2</x:v>
      </x:c>
      <x:c r="M208" s="14" t="n">
        <x:v>4</x:v>
      </x:c>
      <x:c r="N208" s="14" t="n">
        <x:v>4</x:v>
      </x:c>
      <x:c r="O208" s="14" t="n">
        <x:v>4</x:v>
      </x:c>
      <x:c r="P208" s="14" t="n">
        <x:v>3</x:v>
      </x:c>
      <x:c r="Q208" s="14" t="n">
        <x:v>4</x:v>
      </x:c>
      <x:c r="R208" s="14" t="n">
        <x:v>2</x:v>
      </x:c>
      <x:c r="S208" s="14" t="n">
        <x:f>ROUND(0.22*M208+0.28*N208+0.20*O208+0.15*P208+0.08*(6-Q208)+0.07*(6-R208),2)</x:f>
        <x:v>3.69</x:v>
      </x:c>
      <x:c r="T208" s="14" t="str">
        <x:v>低</x:v>
      </x:c>
      <x:c r="U208" s="25"/>
      <x:c r="V208" s="25"/>
      <x:c r="W208" s="25"/>
      <x:c r="X208" s="25"/>
      <x:c r="Y208" s="25"/>
      <x:c r="Z208" s="25"/>
    </x:row>
    <x:row r="209">
      <x:c r="A209" s="14" t="str">
        <x:v>PLI-208</x:v>
      </x:c>
      <x:c r="B209" s="14" t="str">
        <x:v>15 Pet Agent &amp; Search</x:v>
      </x:c>
      <x:c r="C209" s="14" t="str">
        <x:v>Multi-agent</x:v>
      </x:c>
      <x:c r="D209" s="14" t="str">
        <x:v>领域代理路由</x:v>
      </x:c>
      <x:c r="E209" s="14" t="str">
        <x:v>健康、训练、服务等领域可有专用工具/代理，但共享同一Pet Context和权限。</x:v>
      </x:c>
      <x:c r="F209" s="14" t="str">
        <x:v>宠主</x:v>
      </x:c>
      <x:c r="G209" s="14" t="str">
        <x:v>多Agent</x:v>
      </x:c>
      <x:c r="H209" s="14" t="str">
        <x:v>是</x:v>
      </x:c>
      <x:c r="I209" s="14" t="str">
        <x:v>AgentRouted</x:v>
      </x:c>
      <x:c r="J209" s="14" t="str"/>
      <x:c r="K209" s="14" t="str">
        <x:v>Future</x:v>
      </x:c>
      <x:c r="L209" s="14" t="str">
        <x:v>Future</x:v>
      </x:c>
      <x:c r="M209" s="14" t="n">
        <x:v>3</x:v>
      </x:c>
      <x:c r="N209" s="14" t="n">
        <x:v>4</x:v>
      </x:c>
      <x:c r="O209" s="14" t="n">
        <x:v>5</x:v>
      </x:c>
      <x:c r="P209" s="14" t="n">
        <x:v>4</x:v>
      </x:c>
      <x:c r="Q209" s="14" t="n">
        <x:v>5</x:v>
      </x:c>
      <x:c r="R209" s="14" t="n">
        <x:v>4</x:v>
      </x:c>
      <x:c r="S209" s="14" t="n">
        <x:f>ROUND(0.22*M209+0.28*N209+0.20*O209+0.15*P209+0.08*(6-Q209)+0.07*(6-R209),2)</x:f>
        <x:v>3.6</x:v>
      </x:c>
      <x:c r="T209" s="14" t="str">
        <x:v>低</x:v>
      </x:c>
      <x:c r="U209" s="25"/>
      <x:c r="V209" s="25"/>
      <x:c r="W209" s="25"/>
      <x:c r="X209" s="25"/>
      <x:c r="Y209" s="25"/>
      <x:c r="Z209" s="25"/>
    </x:row>
    <x:row r="210">
      <x:c r="A210" s="14" t="str">
        <x:v>PLI-209</x:v>
      </x:c>
      <x:c r="B210" s="14" t="str">
        <x:v>15 Pet Agent &amp; Search</x:v>
      </x:c>
      <x:c r="C210" s="14" t="str">
        <x:v>Audit</x:v>
      </x:c>
      <x:c r="D210" s="14" t="str">
        <x:v>Agent行动日志</x:v>
      </x:c>
      <x:c r="E210" s="14" t="str">
        <x:v>记录Agent读取了什么、建议了什么、请求了什么权限、用户是否确认。</x:v>
      </x:c>
      <x:c r="F210" s="14" t="str">
        <x:v>宠主</x:v>
      </x:c>
      <x:c r="G210" s="14" t="str">
        <x:v>无/规则</x:v>
      </x:c>
      <x:c r="H210" s="14" t="str">
        <x:v>否</x:v>
      </x:c>
      <x:c r="I210" s="14" t="str">
        <x:v>AgentAuditEvent</x:v>
      </x:c>
      <x:c r="J210" s="14" t="str"/>
      <x:c r="K210" s="14" t="str">
        <x:v>v1.0</x:v>
      </x:c>
      <x:c r="L210" s="14" t="str">
        <x:v>P2</x:v>
      </x:c>
      <x:c r="M210" s="14" t="n">
        <x:v>2</x:v>
      </x:c>
      <x:c r="N210" s="14" t="n">
        <x:v>5</x:v>
      </x:c>
      <x:c r="O210" s="14" t="n">
        <x:v>5</x:v>
      </x:c>
      <x:c r="P210" s="14" t="n">
        <x:v>2</x:v>
      </x:c>
      <x:c r="Q210" s="14" t="n">
        <x:v>4</x:v>
      </x:c>
      <x:c r="R210" s="14" t="n">
        <x:v>5</x:v>
      </x:c>
      <x:c r="S210" s="14" t="n">
        <x:f>ROUND(0.22*M210+0.28*N210+0.20*O210+0.15*P210+0.08*(6-Q210)+0.07*(6-R210),2)</x:f>
        <x:v>3.37</x:v>
      </x:c>
      <x:c r="T210" s="14" t="str">
        <x:v>高</x:v>
      </x:c>
      <x:c r="U210" s="25"/>
      <x:c r="V210" s="25"/>
      <x:c r="W210" s="25"/>
      <x:c r="X210" s="25"/>
      <x:c r="Y210" s="25"/>
      <x:c r="Z210" s="25"/>
    </x:row>
    <x:row r="211">
      <x:c r="A211" s="14" t="str">
        <x:v>PLI-210</x:v>
      </x:c>
      <x:c r="B211" s="14" t="str">
        <x:v>15 Pet Agent &amp; Search</x:v>
      </x:c>
      <x:c r="C211" s="14" t="str">
        <x:v>Personalization</x:v>
      </x:c>
      <x:c r="D211" s="14" t="str">
        <x:v>沟通风格与复杂度</x:v>
      </x:c>
      <x:c r="E211" s="14" t="str">
        <x:v>主人选择简短/详细、专业术语程度，不改变安全与临床结论。</x:v>
      </x:c>
      <x:c r="F211" s="14" t="str">
        <x:v>宠主</x:v>
      </x:c>
      <x:c r="G211" s="14" t="str">
        <x:v>呈现个性化</x:v>
      </x:c>
      <x:c r="H211" s="14" t="str">
        <x:v>是</x:v>
      </x:c>
      <x:c r="I211" s="14" t="str">
        <x:v>CommunicationPreferenceChanged</x:v>
      </x:c>
      <x:c r="J211" s="14" t="str"/>
      <x:c r="K211" s="14" t="str">
        <x:v>v1.0</x:v>
      </x:c>
      <x:c r="L211" s="14" t="str">
        <x:v>P2</x:v>
      </x:c>
      <x:c r="M211" s="14" t="n">
        <x:v>3</x:v>
      </x:c>
      <x:c r="N211" s="14" t="n">
        <x:v>3</x:v>
      </x:c>
      <x:c r="O211" s="14" t="n">
        <x:v>2</x:v>
      </x:c>
      <x:c r="P211" s="14" t="n">
        <x:v>2</x:v>
      </x:c>
      <x:c r="Q211" s="14" t="n">
        <x:v>2</x:v>
      </x:c>
      <x:c r="R211" s="14" t="n">
        <x:v>1</x:v>
      </x:c>
      <x:c r="S211" s="14" t="n">
        <x:f>ROUND(0.22*M211+0.28*N211+0.20*O211+0.15*P211+0.08*(6-Q211)+0.07*(6-R211),2)</x:f>
        <x:v>2.87</x:v>
      </x:c>
      <x:c r="T211" s="14" t="str">
        <x:v>低</x:v>
      </x:c>
      <x:c r="U211" s="25"/>
      <x:c r="V211" s="25"/>
      <x:c r="W211" s="25"/>
      <x:c r="X211" s="25"/>
      <x:c r="Y211" s="25"/>
      <x:c r="Z211" s="25"/>
    </x:row>
    <x:row r="212">
      <x:c r="A212" s="14" t="str">
        <x:v>PLI-211</x:v>
      </x:c>
      <x:c r="B212" s="14" t="str">
        <x:v>16 Platform, Data &amp; Safety</x:v>
      </x:c>
      <x:c r="C212" s="14" t="str">
        <x:v>Event Graph</x:v>
      </x:c>
      <x:c r="D212" s="14" t="str">
        <x:v>Canonical Pet Life Event Schema</x:v>
      </x:c>
      <x:c r="E212" s="14" t="str">
        <x:v>所有模块统一写入Pet/Actor/Event/Observation/Task/Relationship/Artifact/Outcome/Grant。</x:v>
      </x:c>
      <x:c r="F212" s="14" t="str">
        <x:v>宠主</x:v>
      </x:c>
      <x:c r="G212" s="14" t="str">
        <x:v>无/规则</x:v>
      </x:c>
      <x:c r="H212" s="14" t="str">
        <x:v>否</x:v>
      </x:c>
      <x:c r="I212" s="14" t="str">
        <x:v>SchemaEvent</x:v>
      </x:c>
      <x:c r="J212" s="14" t="str"/>
      <x:c r="K212" s="14" t="str">
        <x:v>v0.1</x:v>
      </x:c>
      <x:c r="L212" s="14" t="str">
        <x:v>P0</x:v>
      </x:c>
      <x:c r="M212" s="14" t="n">
        <x:v>5</x:v>
      </x:c>
      <x:c r="N212" s="14" t="n">
        <x:v>5</x:v>
      </x:c>
      <x:c r="O212" s="14" t="n">
        <x:v>5</x:v>
      </x:c>
      <x:c r="P212" s="14" t="n">
        <x:v>3</x:v>
      </x:c>
      <x:c r="Q212" s="14" t="n">
        <x:v>4</x:v>
      </x:c>
      <x:c r="R212" s="14" t="n">
        <x:v>2</x:v>
      </x:c>
      <x:c r="S212" s="14" t="n">
        <x:f>ROUND(0.22*M212+0.28*N212+0.20*O212+0.15*P212+0.08*(6-Q212)+0.07*(6-R212),2)</x:f>
        <x:v>4.39</x:v>
      </x:c>
      <x:c r="T212" s="14" t="str">
        <x:v>低</x:v>
      </x:c>
      <x:c r="U212" s="25"/>
      <x:c r="V212" s="25"/>
      <x:c r="W212" s="25"/>
      <x:c r="X212" s="25"/>
      <x:c r="Y212" s="25"/>
      <x:c r="Z212" s="25"/>
    </x:row>
    <x:row r="213">
      <x:c r="A213" s="14" t="str">
        <x:v>PLI-212</x:v>
      </x:c>
      <x:c r="B213" s="14" t="str">
        <x:v>16 Platform, Data &amp; Safety</x:v>
      </x:c>
      <x:c r="C213" s="14" t="str">
        <x:v>Provenance</x:v>
      </x:c>
      <x:c r="D213" s="14" t="str">
        <x:v>来源等级</x:v>
      </x:c>
      <x:c r="E213" s="14" t="str">
        <x:v>每个事实标记owner-reported/device-derived/AI-inferred/professional/lab-confirmed。</x:v>
      </x:c>
      <x:c r="F213" s="14" t="str">
        <x:v>宠主</x:v>
      </x:c>
      <x:c r="G213" s="14" t="str">
        <x:v>无/规则</x:v>
      </x:c>
      <x:c r="H213" s="14" t="str">
        <x:v>否</x:v>
      </x:c>
      <x:c r="I213" s="14" t="str">
        <x:v>ProvenanceAttached</x:v>
      </x:c>
      <x:c r="J213" s="14" t="str"/>
      <x:c r="K213" s="14" t="str">
        <x:v>v0.1</x:v>
      </x:c>
      <x:c r="L213" s="14" t="str">
        <x:v>P0</x:v>
      </x:c>
      <x:c r="M213" s="14" t="n">
        <x:v>5</x:v>
      </x:c>
      <x:c r="N213" s="14" t="n">
        <x:v>5</x:v>
      </x:c>
      <x:c r="O213" s="14" t="n">
        <x:v>5</x:v>
      </x:c>
      <x:c r="P213" s="14" t="n">
        <x:v>2</x:v>
      </x:c>
      <x:c r="Q213" s="14" t="n">
        <x:v>3</x:v>
      </x:c>
      <x:c r="R213" s="14" t="n">
        <x:v>2</x:v>
      </x:c>
      <x:c r="S213" s="14" t="n">
        <x:f>ROUND(0.22*M213+0.28*N213+0.20*O213+0.15*P213+0.08*(6-Q213)+0.07*(6-R213),2)</x:f>
        <x:v>4.32</x:v>
      </x:c>
      <x:c r="T213" s="14" t="str">
        <x:v>低</x:v>
      </x:c>
      <x:c r="U213" s="25"/>
      <x:c r="V213" s="25"/>
      <x:c r="W213" s="25"/>
      <x:c r="X213" s="25"/>
      <x:c r="Y213" s="25"/>
      <x:c r="Z213" s="25"/>
    </x:row>
    <x:row r="214">
      <x:c r="A214" s="14" t="str">
        <x:v>PLI-213</x:v>
      </x:c>
      <x:c r="B214" s="14" t="str">
        <x:v>16 Platform, Data &amp; Safety</x:v>
      </x:c>
      <x:c r="C214" s="14" t="str">
        <x:v>Versioning</x:v>
      </x:c>
      <x:c r="D214" s="14" t="str">
        <x:v>记录不可静默覆盖</x:v>
      </x:c>
      <x:c r="E214" s="14" t="str">
        <x:v>关键事实修改采用版本记录或新事件，保留原始值。</x:v>
      </x:c>
      <x:c r="F214" s="14" t="str">
        <x:v>宠主</x:v>
      </x:c>
      <x:c r="G214" s="14" t="str">
        <x:v>无/规则</x:v>
      </x:c>
      <x:c r="H214" s="14" t="str">
        <x:v>否</x:v>
      </x:c>
      <x:c r="I214" s="14" t="str">
        <x:v>RecordVersioned</x:v>
      </x:c>
      <x:c r="J214" s="14" t="str"/>
      <x:c r="K214" s="14" t="str">
        <x:v>v0.1</x:v>
      </x:c>
      <x:c r="L214" s="14" t="str">
        <x:v>P0</x:v>
      </x:c>
      <x:c r="M214" s="14" t="n">
        <x:v>2</x:v>
      </x:c>
      <x:c r="N214" s="14" t="n">
        <x:v>5</x:v>
      </x:c>
      <x:c r="O214" s="14" t="n">
        <x:v>5</x:v>
      </x:c>
      <x:c r="P214" s="14" t="n">
        <x:v>2</x:v>
      </x:c>
      <x:c r="Q214" s="14" t="n">
        <x:v>3</x:v>
      </x:c>
      <x:c r="R214" s="14" t="n">
        <x:v>4</x:v>
      </x:c>
      <x:c r="S214" s="14" t="n">
        <x:f>ROUND(0.22*M214+0.28*N214+0.20*O214+0.15*P214+0.08*(6-Q214)+0.07*(6-R214),2)</x:f>
        <x:v>3.52</x:v>
      </x:c>
      <x:c r="T214" s="14" t="str">
        <x:v>中</x:v>
      </x:c>
      <x:c r="U214" s="25"/>
      <x:c r="V214" s="25"/>
      <x:c r="W214" s="25"/>
      <x:c r="X214" s="25"/>
      <x:c r="Y214" s="25"/>
      <x:c r="Z214" s="25"/>
    </x:row>
    <x:row r="215">
      <x:c r="A215" s="14" t="str">
        <x:v>PLI-214</x:v>
      </x:c>
      <x:c r="B215" s="14" t="str">
        <x:v>16 Platform, Data &amp; Safety</x:v>
      </x:c>
      <x:c r="C215" s="14" t="str">
        <x:v>AI Provenance</x:v>
      </x:c>
      <x:c r="D215" s="14" t="str">
        <x:v>模型/规则版本追踪</x:v>
      </x:c>
      <x:c r="E215" s="14" t="str">
        <x:v>AI输出记录模型、提示词/规则版本和输入证据引用。</x:v>
      </x:c>
      <x:c r="F215" s="14" t="str">
        <x:v>宠主</x:v>
      </x:c>
      <x:c r="G215" s="14" t="str">
        <x:v>无/规则</x:v>
      </x:c>
      <x:c r="H215" s="14" t="str">
        <x:v>否</x:v>
      </x:c>
      <x:c r="I215" s="14" t="str">
        <x:v>AIInferenceLogged</x:v>
      </x:c>
      <x:c r="J215" s="14" t="str"/>
      <x:c r="K215" s="14" t="str">
        <x:v>v0.1</x:v>
      </x:c>
      <x:c r="L215" s="14" t="str">
        <x:v>P0</x:v>
      </x:c>
      <x:c r="M215" s="14" t="n">
        <x:v>2</x:v>
      </x:c>
      <x:c r="N215" s="14" t="n">
        <x:v>5</x:v>
      </x:c>
      <x:c r="O215" s="14" t="n">
        <x:v>5</x:v>
      </x:c>
      <x:c r="P215" s="14" t="n">
        <x:v>2</x:v>
      </x:c>
      <x:c r="Q215" s="14" t="n">
        <x:v>4</x:v>
      </x:c>
      <x:c r="R215" s="14" t="n">
        <x:v>5</x:v>
      </x:c>
      <x:c r="S215" s="14" t="n">
        <x:f>ROUND(0.22*M215+0.28*N215+0.20*O215+0.15*P215+0.08*(6-Q215)+0.07*(6-R215),2)</x:f>
        <x:v>3.37</x:v>
      </x:c>
      <x:c r="T215" s="14" t="str">
        <x:v>高</x:v>
      </x:c>
      <x:c r="U215" s="25"/>
      <x:c r="V215" s="25"/>
      <x:c r="W215" s="25"/>
      <x:c r="X215" s="25"/>
      <x:c r="Y215" s="25"/>
      <x:c r="Z215" s="25"/>
    </x:row>
    <x:row r="216">
      <x:c r="A216" s="14" t="str">
        <x:v>PLI-215</x:v>
      </x:c>
      <x:c r="B216" s="14" t="str">
        <x:v>16 Platform, Data &amp; Safety</x:v>
      </x:c>
      <x:c r="C216" s="14" t="str">
        <x:v>Consent</x:v>
      </x:c>
      <x:c r="D216" s="14" t="str">
        <x:v>细粒度同意中心</x:v>
      </x:c>
      <x:c r="E216" s="14" t="str">
        <x:v>查看/撤回设备、医疗、研究、社交、营销等不同用途授权。</x:v>
      </x:c>
      <x:c r="F216" s="14" t="str">
        <x:v>宠主</x:v>
      </x:c>
      <x:c r="G216" s="14" t="str">
        <x:v>无/规则</x:v>
      </x:c>
      <x:c r="H216" s="14" t="str">
        <x:v>否</x:v>
      </x:c>
      <x:c r="I216" s="14" t="str">
        <x:v>ConsentChanged</x:v>
      </x:c>
      <x:c r="J216" s="14" t="str"/>
      <x:c r="K216" s="14" t="str">
        <x:v>v0.1</x:v>
      </x:c>
      <x:c r="L216" s="14" t="str">
        <x:v>P0</x:v>
      </x:c>
      <x:c r="M216" s="14" t="n">
        <x:v>1</x:v>
      </x:c>
      <x:c r="N216" s="14" t="n">
        <x:v>5</x:v>
      </x:c>
      <x:c r="O216" s="14" t="n">
        <x:v>5</x:v>
      </x:c>
      <x:c r="P216" s="14" t="n">
        <x:v>1</x:v>
      </x:c>
      <x:c r="Q216" s="14" t="n">
        <x:v>4</x:v>
      </x:c>
      <x:c r="R216" s="14" t="n">
        <x:v>5</x:v>
      </x:c>
      <x:c r="S216" s="14" t="n">
        <x:f>ROUND(0.22*M216+0.28*N216+0.20*O216+0.15*P216+0.08*(6-Q216)+0.07*(6-R216),2)</x:f>
        <x:v>3</x:v>
      </x:c>
      <x:c r="T216" s="14" t="str">
        <x:v>高</x:v>
      </x:c>
      <x:c r="U216" s="25"/>
      <x:c r="V216" s="25"/>
      <x:c r="W216" s="25"/>
      <x:c r="X216" s="25"/>
      <x:c r="Y216" s="25"/>
      <x:c r="Z216" s="25"/>
    </x:row>
    <x:row r="217">
      <x:c r="A217" s="14" t="str">
        <x:v>PLI-216</x:v>
      </x:c>
      <x:c r="B217" s="14" t="str">
        <x:v>16 Platform, Data &amp; Safety</x:v>
      </x:c>
      <x:c r="C217" s="14" t="str">
        <x:v>Deletion</x:v>
      </x:c>
      <x:c r="D217" s="14" t="str">
        <x:v>删除与保留策略</x:v>
      </x:c>
      <x:c r="E217" s="14" t="str">
        <x:v>允许用户删除可删除数据，同时解释法定/审计/交易记录的保留边界。</x:v>
      </x:c>
      <x:c r="F217" s="14" t="str">
        <x:v>宠主</x:v>
      </x:c>
      <x:c r="G217" s="14" t="str">
        <x:v>无/规则</x:v>
      </x:c>
      <x:c r="H217" s="14" t="str">
        <x:v>否</x:v>
      </x:c>
      <x:c r="I217" s="14" t="str">
        <x:v>DeletionRequested</x:v>
      </x:c>
      <x:c r="J217" s="14" t="str"/>
      <x:c r="K217" s="14" t="str">
        <x:v>v0.1</x:v>
      </x:c>
      <x:c r="L217" s="14" t="str">
        <x:v>P0</x:v>
      </x:c>
      <x:c r="M217" s="14" t="n">
        <x:v>1</x:v>
      </x:c>
      <x:c r="N217" s="14" t="n">
        <x:v>5</x:v>
      </x:c>
      <x:c r="O217" s="14" t="n">
        <x:v>4</x:v>
      </x:c>
      <x:c r="P217" s="14" t="n">
        <x:v>1</x:v>
      </x:c>
      <x:c r="Q217" s="14" t="n">
        <x:v>4</x:v>
      </x:c>
      <x:c r="R217" s="14" t="n">
        <x:v>5</x:v>
      </x:c>
      <x:c r="S217" s="14" t="n">
        <x:f>ROUND(0.22*M217+0.28*N217+0.20*O217+0.15*P217+0.08*(6-Q217)+0.07*(6-R217),2)</x:f>
        <x:v>2.8</x:v>
      </x:c>
      <x:c r="T217" s="14" t="str">
        <x:v>高</x:v>
      </x:c>
      <x:c r="U217" s="25"/>
      <x:c r="V217" s="25"/>
      <x:c r="W217" s="25"/>
      <x:c r="X217" s="25"/>
      <x:c r="Y217" s="25"/>
      <x:c r="Z217" s="25"/>
    </x:row>
    <x:row r="218">
      <x:c r="A218" s="14" t="str">
        <x:v>PLI-217</x:v>
      </x:c>
      <x:c r="B218" s="14" t="str">
        <x:v>16 Platform, Data &amp; Safety</x:v>
      </x:c>
      <x:c r="C218" s="14" t="str">
        <x:v>Security</x:v>
      </x:c>
      <x:c r="D218" s="14" t="str">
        <x:v>登录与设备安全</x:v>
      </x:c>
      <x:c r="E218" s="14" t="str">
        <x:v>多因素认证、风险登录、设备会话管理和敏感操作再认证。</x:v>
      </x:c>
      <x:c r="F218" s="14" t="str">
        <x:v>宠主</x:v>
      </x:c>
      <x:c r="G218" s="14" t="str">
        <x:v>无/规则</x:v>
      </x:c>
      <x:c r="H218" s="14" t="str">
        <x:v>否</x:v>
      </x:c>
      <x:c r="I218" s="14" t="str">
        <x:v>SecurityEvent</x:v>
      </x:c>
      <x:c r="J218" s="14" t="str"/>
      <x:c r="K218" s="14" t="str">
        <x:v>v0.1</x:v>
      </x:c>
      <x:c r="L218" s="14" t="str">
        <x:v>P0</x:v>
      </x:c>
      <x:c r="M218" s="14" t="n">
        <x:v>2</x:v>
      </x:c>
      <x:c r="N218" s="14" t="n">
        <x:v>5</x:v>
      </x:c>
      <x:c r="O218" s="14" t="n">
        <x:v>3</x:v>
      </x:c>
      <x:c r="P218" s="14" t="n">
        <x:v>1</x:v>
      </x:c>
      <x:c r="Q218" s="14" t="n">
        <x:v>4</x:v>
      </x:c>
      <x:c r="R218" s="14" t="n">
        <x:v>5</x:v>
      </x:c>
      <x:c r="S218" s="14" t="n">
        <x:f>ROUND(0.22*M218+0.28*N218+0.20*O218+0.15*P218+0.08*(6-Q218)+0.07*(6-R218),2)</x:f>
        <x:v>2.82</x:v>
      </x:c>
      <x:c r="T218" s="14" t="str">
        <x:v>高</x:v>
      </x:c>
      <x:c r="U218" s="25"/>
      <x:c r="V218" s="25"/>
      <x:c r="W218" s="25"/>
      <x:c r="X218" s="25"/>
      <x:c r="Y218" s="25"/>
      <x:c r="Z218" s="25"/>
    </x:row>
    <x:row r="219">
      <x:c r="A219" s="14" t="str">
        <x:v>PLI-218</x:v>
      </x:c>
      <x:c r="B219" s="14" t="str">
        <x:v>16 Platform, Data &amp; Safety</x:v>
      </x:c>
      <x:c r="C219" s="14" t="str">
        <x:v>Moderation</x:v>
      </x:c>
      <x:c r="D219" s="14" t="str">
        <x:v>有害内容安全</x:v>
      </x:c>
      <x:c r="E219" s="14" t="str">
        <x:v>识别虐待、自制危险治疗、违法交易等高风险内容。</x:v>
      </x:c>
      <x:c r="F219" s="14" t="str">
        <x:v>宠主</x:v>
      </x:c>
      <x:c r="G219" s="14" t="str">
        <x:v>内容安全</x:v>
      </x:c>
      <x:c r="H219" s="14" t="str">
        <x:v>是</x:v>
      </x:c>
      <x:c r="I219" s="14" t="str">
        <x:v>SafetyModerationEvent</x:v>
      </x:c>
      <x:c r="J219" s="14" t="str"/>
      <x:c r="K219" s="14" t="str">
        <x:v>v1.0</x:v>
      </x:c>
      <x:c r="L219" s="14" t="str">
        <x:v>P2</x:v>
      </x:c>
      <x:c r="M219" s="14" t="n">
        <x:v>2</x:v>
      </x:c>
      <x:c r="N219" s="14" t="n">
        <x:v>5</x:v>
      </x:c>
      <x:c r="O219" s="14" t="n">
        <x:v>2</x:v>
      </x:c>
      <x:c r="P219" s="14" t="n">
        <x:v>2</x:v>
      </x:c>
      <x:c r="Q219" s="14" t="n">
        <x:v>4</x:v>
      </x:c>
      <x:c r="R219" s="14" t="n">
        <x:v>5</x:v>
      </x:c>
      <x:c r="S219" s="14" t="n">
        <x:f>ROUND(0.22*M219+0.28*N219+0.20*O219+0.15*P219+0.08*(6-Q219)+0.07*(6-R219),2)</x:f>
        <x:v>2.77</x:v>
      </x:c>
      <x:c r="T219" s="14" t="str">
        <x:v>高</x:v>
      </x:c>
      <x:c r="U219" s="25"/>
      <x:c r="V219" s="25"/>
      <x:c r="W219" s="25"/>
      <x:c r="X219" s="25"/>
      <x:c r="Y219" s="25"/>
      <x:c r="Z219" s="25"/>
    </x:row>
    <x:row r="220">
      <x:c r="A220" s="14" t="str">
        <x:v>PLI-219</x:v>
      </x:c>
      <x:c r="B220" s="14" t="str">
        <x:v>16 Platform, Data &amp; Safety</x:v>
      </x:c>
      <x:c r="C220" s="14" t="str">
        <x:v>Notifications</x:v>
      </x:c>
      <x:c r="D220" s="14" t="str">
        <x:v>统一通知中心</x:v>
      </x:c>
      <x:c r="E220" s="14" t="str">
        <x:v>聚合任务、健康、服务、设备和社交提醒，并按严重度分层。</x:v>
      </x:c>
      <x:c r="F220" s="14" t="str">
        <x:v>宠主</x:v>
      </x:c>
      <x:c r="G220" s="14" t="str">
        <x:v>无/规则</x:v>
      </x:c>
      <x:c r="H220" s="14" t="str">
        <x:v>否</x:v>
      </x:c>
      <x:c r="I220" s="14" t="str">
        <x:v>NotificationCreated</x:v>
      </x:c>
      <x:c r="J220" s="14" t="str"/>
      <x:c r="K220" s="14" t="str">
        <x:v>v0.1</x:v>
      </x:c>
      <x:c r="L220" s="14" t="str">
        <x:v>P0</x:v>
      </x:c>
      <x:c r="M220" s="14" t="n">
        <x:v>5</x:v>
      </x:c>
      <x:c r="N220" s="14" t="n">
        <x:v>5</x:v>
      </x:c>
      <x:c r="O220" s="14" t="n">
        <x:v>4</x:v>
      </x:c>
      <x:c r="P220" s="14" t="n">
        <x:v>2</x:v>
      </x:c>
      <x:c r="Q220" s="14" t="n">
        <x:v>3</x:v>
      </x:c>
      <x:c r="R220" s="14" t="n">
        <x:v>2</x:v>
      </x:c>
      <x:c r="S220" s="14" t="n">
        <x:f>ROUND(0.22*M220+0.28*N220+0.20*O220+0.15*P220+0.08*(6-Q220)+0.07*(6-R220),2)</x:f>
        <x:v>4.12</x:v>
      </x:c>
      <x:c r="T220" s="14" t="str">
        <x:v>低</x:v>
      </x:c>
      <x:c r="U220" s="25"/>
      <x:c r="V220" s="25"/>
      <x:c r="W220" s="25"/>
      <x:c r="X220" s="25"/>
      <x:c r="Y220" s="25"/>
      <x:c r="Z220" s="25"/>
    </x:row>
    <x:row r="221">
      <x:c r="A221" s="14" t="str">
        <x:v>PLI-220</x:v>
      </x:c>
      <x:c r="B221" s="14" t="str">
        <x:v>16 Platform, Data &amp; Safety</x:v>
      </x:c>
      <x:c r="C221" s="14" t="str">
        <x:v>Offline</x:v>
      </x:c>
      <x:c r="D221" s="14" t="str">
        <x:v>核心Care Card离线可用</x:v>
      </x:c>
      <x:c r="E221" s="14" t="str">
        <x:v>在网络不佳时仍可访问经过授权的紧急照护信息。</x:v>
      </x:c>
      <x:c r="F221" s="14" t="str">
        <x:v>宠主</x:v>
      </x:c>
      <x:c r="G221" s="14" t="str">
        <x:v>无/规则</x:v>
      </x:c>
      <x:c r="H221" s="14" t="str">
        <x:v>否</x:v>
      </x:c>
      <x:c r="I221" s="14" t="str">
        <x:v>OfflineBundleUpdated</x:v>
      </x:c>
      <x:c r="J221" s="14" t="str"/>
      <x:c r="K221" s="14" t="str">
        <x:v>v1.0</x:v>
      </x:c>
      <x:c r="L221" s="14" t="str">
        <x:v>P2</x:v>
      </x:c>
      <x:c r="M221" s="14" t="n">
        <x:v>1</x:v>
      </x:c>
      <x:c r="N221" s="14" t="n">
        <x:v>5</x:v>
      </x:c>
      <x:c r="O221" s="14" t="n">
        <x:v>3</x:v>
      </x:c>
      <x:c r="P221" s="14" t="n">
        <x:v>2</x:v>
      </x:c>
      <x:c r="Q221" s="14" t="n">
        <x:v>4</x:v>
      </x:c>
      <x:c r="R221" s="14" t="n">
        <x:v>3</x:v>
      </x:c>
      <x:c r="S221" s="14" t="n">
        <x:f>ROUND(0.22*M221+0.28*N221+0.20*O221+0.15*P221+0.08*(6-Q221)+0.07*(6-R221),2)</x:f>
        <x:v>2.89</x:v>
      </x:c>
      <x:c r="T221" s="14" t="str">
        <x:v>低</x:v>
      </x:c>
      <x:c r="U221" s="25"/>
      <x:c r="V221" s="25"/>
      <x:c r="W221" s="25"/>
      <x:c r="X221" s="25"/>
      <x:c r="Y221" s="25"/>
      <x:c r="Z221" s="25"/>
    </x:row>
    <x:row r="222">
      <x:c r="A222" s="14" t="str">
        <x:v>PLI-221</x:v>
      </x:c>
      <x:c r="B222" s="14" t="str">
        <x:v>16 Platform, Data &amp; Safety</x:v>
      </x:c>
      <x:c r="C222" s="14" t="str">
        <x:v>Reliability</x:v>
      </x:c>
      <x:c r="D222" s="14" t="str">
        <x:v>事件幂等与重复检测</x:v>
      </x:c>
      <x:c r="E222" s="14" t="str">
        <x:v>避免设备重试/网络抖动生成重复喂食、药物等事件。</x:v>
      </x:c>
      <x:c r="F222" s="14" t="str">
        <x:v>宠主</x:v>
      </x:c>
      <x:c r="G222" s="14" t="str">
        <x:v>规则/去重</x:v>
      </x:c>
      <x:c r="H222" s="14" t="str">
        <x:v>规则为主</x:v>
      </x:c>
      <x:c r="I222" s="14" t="str">
        <x:v>DuplicateEventDetected</x:v>
      </x:c>
      <x:c r="J222" s="14" t="str"/>
      <x:c r="K222" s="14" t="str">
        <x:v>v0.1</x:v>
      </x:c>
      <x:c r="L222" s="14" t="str">
        <x:v>P0</x:v>
      </x:c>
      <x:c r="M222" s="14" t="n">
        <x:v>4</x:v>
      </x:c>
      <x:c r="N222" s="14" t="n">
        <x:v>5</x:v>
      </x:c>
      <x:c r="O222" s="14" t="n">
        <x:v>5</x:v>
      </x:c>
      <x:c r="P222" s="14" t="n">
        <x:v>2</x:v>
      </x:c>
      <x:c r="Q222" s="14" t="n">
        <x:v>4</x:v>
      </x:c>
      <x:c r="R222" s="14" t="n">
        <x:v>3</x:v>
      </x:c>
      <x:c r="S222" s="14" t="n">
        <x:f>ROUND(0.22*M222+0.28*N222+0.20*O222+0.15*P222+0.08*(6-Q222)+0.07*(6-R222),2)</x:f>
        <x:v>3.95</x:v>
      </x:c>
      <x:c r="T222" s="14" t="str">
        <x:v>低</x:v>
      </x:c>
      <x:c r="U222" s="25"/>
      <x:c r="V222" s="25"/>
      <x:c r="W222" s="25"/>
      <x:c r="X222" s="25"/>
      <x:c r="Y222" s="25"/>
      <x:c r="Z222" s="25"/>
    </x:row>
    <x:row r="223">
      <x:c r="A223" s="14" t="str">
        <x:v>PLI-222</x:v>
      </x:c>
      <x:c r="B223" s="14" t="str">
        <x:v>16 Platform, Data &amp; Safety</x:v>
      </x:c>
      <x:c r="C223" s="14" t="str">
        <x:v>Identity</x:v>
      </x:c>
      <x:c r="D223" s="14" t="str">
        <x:v>跨来源宠物归一</x:v>
      </x:c>
      <x:c r="E223" s="14" t="str">
        <x:v>第三方设备/医院导入时把不同外部ID安全映射到同一Pet ID。</x:v>
      </x:c>
      <x:c r="F223" s="14" t="str">
        <x:v>宠主</x:v>
      </x:c>
      <x:c r="G223" s="14" t="str">
        <x:v>实体解析</x:v>
      </x:c>
      <x:c r="H223" s="14" t="str">
        <x:v>是</x:v>
      </x:c>
      <x:c r="I223" s="14" t="str">
        <x:v>ExternalIdentityMapped</x:v>
      </x:c>
      <x:c r="J223" s="14" t="str"/>
      <x:c r="K223" s="14" t="str">
        <x:v>v1.0</x:v>
      </x:c>
      <x:c r="L223" s="14" t="str">
        <x:v>P2</x:v>
      </x:c>
      <x:c r="M223" s="14" t="n">
        <x:v>2</x:v>
      </x:c>
      <x:c r="N223" s="14" t="n">
        <x:v>5</x:v>
      </x:c>
      <x:c r="O223" s="14" t="n">
        <x:v>5</x:v>
      </x:c>
      <x:c r="P223" s="14" t="n">
        <x:v>3</x:v>
      </x:c>
      <x:c r="Q223" s="14" t="n">
        <x:v>5</x:v>
      </x:c>
      <x:c r="R223" s="14" t="n">
        <x:v>4</x:v>
      </x:c>
      <x:c r="S223" s="14" t="n">
        <x:f>ROUND(0.22*M223+0.28*N223+0.20*O223+0.15*P223+0.08*(6-Q223)+0.07*(6-R223),2)</x:f>
        <x:v>3.51</x:v>
      </x:c>
      <x:c r="T223" s="14" t="str">
        <x:v>中</x:v>
      </x:c>
      <x:c r="U223" s="25"/>
      <x:c r="V223" s="25"/>
      <x:c r="W223" s="25"/>
      <x:c r="X223" s="25"/>
      <x:c r="Y223" s="25"/>
      <x:c r="Z223" s="25"/>
    </x:row>
    <x:row r="224">
      <x:c r="A224" s="14" t="str">
        <x:v>PLI-223</x:v>
      </x:c>
      <x:c r="B224" s="14" t="str">
        <x:v>16 Platform, Data &amp; Safety</x:v>
      </x:c>
      <x:c r="C224" s="14" t="str">
        <x:v>Admin</x:v>
      </x:c>
      <x:c r="D224" s="14" t="str">
        <x:v>专业内容版本管理</x:v>
      </x:c>
      <x:c r="E224" s="14" t="str">
        <x:v>健康/训练/安全规则采用审批、版本、灰度和回滚。</x:v>
      </x:c>
      <x:c r="F224" s="14" t="str">
        <x:v>宠主</x:v>
      </x:c>
      <x:c r="G224" s="14" t="str">
        <x:v>无/规则</x:v>
      </x:c>
      <x:c r="H224" s="14" t="str">
        <x:v>否</x:v>
      </x:c>
      <x:c r="I224" s="14" t="str">
        <x:v>ContentVersionPublished</x:v>
      </x:c>
      <x:c r="J224" s="14" t="str"/>
      <x:c r="K224" s="14" t="str">
        <x:v>v0.2</x:v>
      </x:c>
      <x:c r="L224" s="14" t="str">
        <x:v>P1</x:v>
      </x:c>
      <x:c r="M224" s="14" t="n">
        <x:v>1</x:v>
      </x:c>
      <x:c r="N224" s="14" t="n">
        <x:v>5</x:v>
      </x:c>
      <x:c r="O224" s="14" t="n">
        <x:v>4</x:v>
      </x:c>
      <x:c r="P224" s="14" t="n">
        <x:v>2</x:v>
      </x:c>
      <x:c r="Q224" s="14" t="n">
        <x:v>4</x:v>
      </x:c>
      <x:c r="R224" s="14" t="n">
        <x:v>5</x:v>
      </x:c>
      <x:c r="S224" s="14" t="n">
        <x:f>ROUND(0.22*M224+0.28*N224+0.20*O224+0.15*P224+0.08*(6-Q224)+0.07*(6-R224),2)</x:f>
        <x:v>2.95</x:v>
      </x:c>
      <x:c r="T224" s="14" t="str">
        <x:v>高</x:v>
      </x:c>
      <x:c r="U224" s="25"/>
      <x:c r="V224" s="25"/>
      <x:c r="W224" s="25"/>
      <x:c r="X224" s="25"/>
      <x:c r="Y224" s="25"/>
      <x:c r="Z224" s="25"/>
    </x:row>
    <x:row r="225">
      <x:c r="A225" s="14" t="str">
        <x:v>PLI-224</x:v>
      </x:c>
      <x:c r="B225" s="14" t="str">
        <x:v>16 Platform, Data &amp; Safety</x:v>
      </x:c>
      <x:c r="C225" s="14" t="str">
        <x:v>Experiment</x:v>
      </x:c>
      <x:c r="D225" s="14" t="str">
        <x:v>产品实验框架</x:v>
      </x:c>
      <x:c r="E225" s="14" t="str">
        <x:v>A/B只用于低风险UX/留存，不对红旗/临床安全逻辑做无保护实验。</x:v>
      </x:c>
      <x:c r="F225" s="14" t="str">
        <x:v>宠主</x:v>
      </x:c>
      <x:c r="G225" s="14" t="str">
        <x:v>无/规则</x:v>
      </x:c>
      <x:c r="H225" s="14" t="str">
        <x:v>否</x:v>
      </x:c>
      <x:c r="I225" s="14" t="str">
        <x:v>ExperimentAssigned</x:v>
      </x:c>
      <x:c r="J225" s="14" t="str"/>
      <x:c r="K225" s="14" t="str">
        <x:v>v1.0</x:v>
      </x:c>
      <x:c r="L225" s="14" t="str">
        <x:v>P2</x:v>
      </x:c>
      <x:c r="M225" s="14" t="n">
        <x:v>1</x:v>
      </x:c>
      <x:c r="N225" s="14" t="n">
        <x:v>4</x:v>
      </x:c>
      <x:c r="O225" s="14" t="n">
        <x:v>3</x:v>
      </x:c>
      <x:c r="P225" s="14" t="n">
        <x:v>3</x:v>
      </x:c>
      <x:c r="Q225" s="14" t="n">
        <x:v>4</x:v>
      </x:c>
      <x:c r="R225" s="14" t="n">
        <x:v>4</x:v>
      </x:c>
      <x:c r="S225" s="14" t="n">
        <x:f>ROUND(0.22*M225+0.28*N225+0.20*O225+0.15*P225+0.08*(6-Q225)+0.07*(6-R225),2)</x:f>
        <x:v>2.69</x:v>
      </x:c>
      <x:c r="T225" s="14" t="str">
        <x:v>中</x:v>
      </x:c>
      <x:c r="U225" s="25"/>
      <x:c r="V225" s="25"/>
      <x:c r="W225" s="25"/>
      <x:c r="X225" s="25"/>
      <x:c r="Y225" s="25"/>
      <x:c r="Z225" s="25"/>
    </x:row>
    <x:row r="226">
      <x:c r="A226" s="14" t="str">
        <x:v>PLI-225</x:v>
      </x:c>
      <x:c r="B226" s="14" t="str">
        <x:v>16 Platform, Data &amp; Safety</x:v>
      </x:c>
      <x:c r="C226" s="14" t="str">
        <x:v>Analytics</x:v>
      </x:c>
      <x:c r="D226" s="14" t="str">
        <x:v>隐私保护产品分析</x:v>
      </x:c>
      <x:c r="E226" s="14" t="str">
        <x:v>统计漏斗、留存、任务完成和数据质量，不把敏感内容用于无关广告。</x:v>
      </x:c>
      <x:c r="F226" s="14" t="str">
        <x:v>宠主</x:v>
      </x:c>
      <x:c r="G226" s="14" t="str">
        <x:v>无/规则</x:v>
      </x:c>
      <x:c r="H226" s="14" t="str">
        <x:v>否</x:v>
      </x:c>
      <x:c r="I226" s="14" t="str">
        <x:v>AnalyticsEvent</x:v>
      </x:c>
      <x:c r="J226" s="14" t="str"/>
      <x:c r="K226" s="14" t="str">
        <x:v>v0.2</x:v>
      </x:c>
      <x:c r="L226" s="14" t="str">
        <x:v>P1</x:v>
      </x:c>
      <x:c r="M226" s="14" t="n">
        <x:v>2</x:v>
      </x:c>
      <x:c r="N226" s="14" t="n">
        <x:v>4</x:v>
      </x:c>
      <x:c r="O226" s="14" t="n">
        <x:v>3</x:v>
      </x:c>
      <x:c r="P226" s="14" t="n">
        <x:v>4</x:v>
      </x:c>
      <x:c r="Q226" s="14" t="n">
        <x:v>3</x:v>
      </x:c>
      <x:c r="R226" s="14" t="n">
        <x:v>3</x:v>
      </x:c>
      <x:c r="S226" s="14" t="n">
        <x:f>ROUND(0.22*M226+0.28*N226+0.20*O226+0.15*P226+0.08*(6-Q226)+0.07*(6-R226),2)</x:f>
        <x:v>3.21</x:v>
      </x:c>
      <x:c r="T226" s="14" t="str">
        <x:v>中</x:v>
      </x:c>
      <x:c r="U226" s="25"/>
      <x:c r="V226" s="25"/>
      <x:c r="W226" s="25"/>
      <x:c r="X226" s="25"/>
      <x:c r="Y226" s="25"/>
      <x:c r="Z226" s="25"/>
    </x:row>
    <x:row r="227">
      <x:c r="A227" s="14" t="str">
        <x:v>PLI-226</x:v>
      </x:c>
      <x:c r="B227" s="14" t="str">
        <x:v>16 Platform, Data &amp; Safety</x:v>
      </x:c>
      <x:c r="C227" s="14" t="str">
        <x:v>Quality</x:v>
      </x:c>
      <x:c r="D227" s="14" t="str">
        <x:v>数据质量评分</x:v>
      </x:c>
      <x:c r="E227" s="14" t="str">
        <x:v>为事件完整性、媒体质量、设备可靠性和标签来源建立质量指标。</x:v>
      </x:c>
      <x:c r="F227" s="14" t="str">
        <x:v>宠主</x:v>
      </x:c>
      <x:c r="G227" s="14" t="str">
        <x:v>质量模型</x:v>
      </x:c>
      <x:c r="H227" s="14" t="str">
        <x:v>是</x:v>
      </x:c>
      <x:c r="I227" s="14" t="str">
        <x:v>DataQualityScored</x:v>
      </x:c>
      <x:c r="J227" s="14" t="str"/>
      <x:c r="K227" s="14" t="str">
        <x:v>v1.0</x:v>
      </x:c>
      <x:c r="L227" s="14" t="str">
        <x:v>P2</x:v>
      </x:c>
      <x:c r="M227" s="14" t="n">
        <x:v>2</x:v>
      </x:c>
      <x:c r="N227" s="14" t="n">
        <x:v>5</x:v>
      </x:c>
      <x:c r="O227" s="14" t="n">
        <x:v>5</x:v>
      </x:c>
      <x:c r="P227" s="14" t="n">
        <x:v>3</x:v>
      </x:c>
      <x:c r="Q227" s="14" t="n">
        <x:v>5</x:v>
      </x:c>
      <x:c r="R227" s="14" t="n">
        <x:v>3</x:v>
      </x:c>
      <x:c r="S227" s="14" t="n">
        <x:f>ROUND(0.22*M227+0.28*N227+0.20*O227+0.15*P227+0.08*(6-Q227)+0.07*(6-R227),2)</x:f>
        <x:v>3.58</x:v>
      </x:c>
      <x:c r="T227" s="14" t="str">
        <x:v>低</x:v>
      </x:c>
      <x:c r="U227" s="25"/>
      <x:c r="V227" s="25"/>
      <x:c r="W227" s="25"/>
      <x:c r="X227" s="25"/>
      <x:c r="Y227" s="25"/>
      <x:c r="Z227" s="25"/>
    </x:row>
    <x:row r="228">
      <x:c r="A228" s="14" t="str">
        <x:v>PLI-227</x:v>
      </x:c>
      <x:c r="B228" s="14" t="str">
        <x:v>16 Platform, Data &amp; Safety</x:v>
      </x:c>
      <x:c r="C228" s="14" t="str">
        <x:v>Evaluation</x:v>
      </x:c>
      <x:c r="D228" s="14" t="str">
        <x:v>AI离线评测框架</x:v>
      </x:c>
      <x:c r="E228" s="14" t="str">
        <x:v>健康、行为、OCR、RAG分别建设固定测试集、亚组和安全指标。</x:v>
      </x:c>
      <x:c r="F228" s="14" t="str">
        <x:v>宠主</x:v>
      </x:c>
      <x:c r="G228" s="14" t="str">
        <x:v>无/规则</x:v>
      </x:c>
      <x:c r="H228" s="14" t="str">
        <x:v>否</x:v>
      </x:c>
      <x:c r="I228" s="14" t="str">
        <x:v>ModelEvaluationRun</x:v>
      </x:c>
      <x:c r="J228" s="14" t="str"/>
      <x:c r="K228" s="14" t="str">
        <x:v>v0.1</x:v>
      </x:c>
      <x:c r="L228" s="14" t="str">
        <x:v>P0</x:v>
      </x:c>
      <x:c r="M228" s="14" t="n">
        <x:v>1</x:v>
      </x:c>
      <x:c r="N228" s="14" t="n">
        <x:v>5</x:v>
      </x:c>
      <x:c r="O228" s="14" t="n">
        <x:v>5</x:v>
      </x:c>
      <x:c r="P228" s="14" t="n">
        <x:v>1</x:v>
      </x:c>
      <x:c r="Q228" s="14" t="n">
        <x:v>4</x:v>
      </x:c>
      <x:c r="R228" s="14" t="n">
        <x:v>5</x:v>
      </x:c>
      <x:c r="S228" s="14" t="n">
        <x:f>ROUND(0.22*M228+0.28*N228+0.20*O228+0.15*P228+0.08*(6-Q228)+0.07*(6-R228),2)</x:f>
        <x:v>3</x:v>
      </x:c>
      <x:c r="T228" s="14" t="str">
        <x:v>高</x:v>
      </x:c>
      <x:c r="U228" s="25"/>
      <x:c r="V228" s="25"/>
      <x:c r="W228" s="25"/>
      <x:c r="X228" s="25"/>
      <x:c r="Y228" s="25"/>
      <x:c r="Z228" s="25"/>
    </x:row>
    <x:row r="229">
      <x:c r="A229" s="14" t="str">
        <x:v>PLI-228</x:v>
      </x:c>
      <x:c r="B229" s="14" t="str">
        <x:v>16 Platform, Data &amp; Safety</x:v>
      </x:c>
      <x:c r="C229" s="14" t="str">
        <x:v>Observability</x:v>
      </x:c>
      <x:c r="D229" s="14" t="str">
        <x:v>生产监控与事故响应</x:v>
      </x:c>
      <x:c r="E229" s="14" t="str">
        <x:v>监控模型错误、数据漂移、服务故障、安全事件并支持快速回滚。</x:v>
      </x:c>
      <x:c r="F229" s="14" t="str">
        <x:v>宠主</x:v>
      </x:c>
      <x:c r="G229" s="14" t="str">
        <x:v>无/规则</x:v>
      </x:c>
      <x:c r="H229" s="14" t="str">
        <x:v>否</x:v>
      </x:c>
      <x:c r="I229" s="14" t="str">
        <x:v>IncidentOpened</x:v>
      </x:c>
      <x:c r="J229" s="14" t="str"/>
      <x:c r="K229" s="14" t="str">
        <x:v>v0.2</x:v>
      </x:c>
      <x:c r="L229" s="14" t="str">
        <x:v>P1</x:v>
      </x:c>
      <x:c r="M229" s="14" t="n">
        <x:v>1</x:v>
      </x:c>
      <x:c r="N229" s="14" t="n">
        <x:v>5</x:v>
      </x:c>
      <x:c r="O229" s="14" t="n">
        <x:v>4</x:v>
      </x:c>
      <x:c r="P229" s="14" t="n">
        <x:v>2</x:v>
      </x:c>
      <x:c r="Q229" s="14" t="n">
        <x:v>4</x:v>
      </x:c>
      <x:c r="R229" s="14" t="n">
        <x:v>5</x:v>
      </x:c>
      <x:c r="S229" s="14" t="n">
        <x:f>ROUND(0.22*M229+0.28*N229+0.20*O229+0.15*P229+0.08*(6-Q229)+0.07*(6-R229),2)</x:f>
        <x:v>2.95</x:v>
      </x:c>
      <x:c r="T229" s="14" t="str">
        <x:v>高</x:v>
      </x:c>
      <x:c r="U229" s="25"/>
      <x:c r="V229" s="25"/>
      <x:c r="W229" s="25"/>
      <x:c r="X229" s="25"/>
      <x:c r="Y229" s="25"/>
      <x:c r="Z229" s="25"/>
    </x:row>
    <x:row r="230">
      <x:c r="A230" s="25"/>
      <x:c r="B230" s="25"/>
      <x:c r="C230" s="25"/>
      <x:c r="D230" s="25"/>
      <x:c r="E230" s="25"/>
      <x:c r="F230" s="25"/>
      <x:c r="G230" s="25"/>
      <x:c r="H230" s="25"/>
      <x:c r="I230" s="25"/>
      <x:c r="J230" s="25"/>
      <x:c r="K230" s="25"/>
      <x:c r="L230" s="25"/>
      <x:c r="M230" s="25"/>
      <x:c r="N230" s="25"/>
      <x:c r="O230" s="25"/>
      <x:c r="P230" s="25"/>
      <x:c r="Q230" s="25"/>
      <x:c r="R230" s="25"/>
      <x:c r="S230" s="25"/>
      <x:c r="T230" s="25"/>
      <x:c r="U230" s="25"/>
      <x:c r="V230" s="25"/>
      <x:c r="W230" s="25"/>
      <x:c r="X230" s="25"/>
      <x:c r="Y230" s="25"/>
      <x:c r="Z230" s="25"/>
    </x:row>
    <x:row r="231">
      <x:c r="A231" s="25"/>
      <x:c r="B231" s="25"/>
      <x:c r="C231" s="25"/>
      <x:c r="D231" s="25"/>
      <x:c r="E231" s="25"/>
      <x:c r="F231" s="25"/>
      <x:c r="G231" s="25"/>
      <x:c r="H231" s="25"/>
      <x:c r="I231" s="25"/>
      <x:c r="J231" s="25"/>
      <x:c r="K231" s="25"/>
      <x:c r="L231" s="25"/>
      <x:c r="M231" s="25"/>
      <x:c r="N231" s="25"/>
      <x:c r="O231" s="25"/>
      <x:c r="P231" s="25"/>
      <x:c r="Q231" s="25"/>
      <x:c r="R231" s="25"/>
      <x:c r="S231" s="25"/>
      <x:c r="T231" s="25"/>
      <x:c r="U231" s="25"/>
      <x:c r="V231" s="25"/>
      <x:c r="W231" s="25"/>
      <x:c r="X231" s="25"/>
      <x:c r="Y231" s="25"/>
      <x:c r="Z231" s="25"/>
    </x:row>
    <x:row r="232">
      <x:c r="A232" s="25"/>
      <x:c r="B232" s="25"/>
      <x:c r="C232" s="25"/>
      <x:c r="D232" s="25"/>
      <x:c r="E232" s="25"/>
      <x:c r="F232" s="25"/>
      <x:c r="G232" s="25"/>
      <x:c r="H232" s="25"/>
      <x:c r="I232" s="25"/>
      <x:c r="J232" s="25"/>
      <x:c r="K232" s="25"/>
      <x:c r="L232" s="25"/>
      <x:c r="M232" s="25"/>
      <x:c r="N232" s="25"/>
      <x:c r="O232" s="25"/>
      <x:c r="P232" s="25"/>
      <x:c r="Q232" s="25"/>
      <x:c r="R232" s="25"/>
      <x:c r="S232" s="25"/>
      <x:c r="T232" s="25"/>
      <x:c r="U232" s="25"/>
      <x:c r="V232" s="25"/>
      <x:c r="W232" s="25"/>
      <x:c r="X232" s="25"/>
      <x:c r="Y232" s="25"/>
      <x:c r="Z232" s="25"/>
    </x:row>
    <x:row r="233">
      <x:c r="A233" s="25"/>
      <x:c r="B233" s="25"/>
      <x:c r="C233" s="25"/>
      <x:c r="D233" s="25"/>
      <x:c r="E233" s="25"/>
      <x:c r="F233" s="25"/>
      <x:c r="G233" s="25"/>
      <x:c r="H233" s="25"/>
      <x:c r="I233" s="25"/>
      <x:c r="J233" s="25"/>
      <x:c r="K233" s="25"/>
      <x:c r="L233" s="25"/>
      <x:c r="M233" s="25"/>
      <x:c r="N233" s="25"/>
      <x:c r="O233" s="25"/>
      <x:c r="P233" s="25"/>
      <x:c r="Q233" s="25"/>
      <x:c r="R233" s="25"/>
      <x:c r="S233" s="25"/>
      <x:c r="T233" s="25"/>
      <x:c r="U233" s="25"/>
      <x:c r="V233" s="25"/>
      <x:c r="W233" s="25"/>
      <x:c r="X233" s="25"/>
      <x:c r="Y233" s="25"/>
      <x:c r="Z233" s="25"/>
    </x:row>
    <x:row r="234">
      <x:c r="A234" s="25"/>
      <x:c r="B234" s="25"/>
      <x:c r="C234" s="25"/>
      <x:c r="D234" s="25"/>
      <x:c r="E234" s="25"/>
      <x:c r="F234" s="25"/>
      <x:c r="G234" s="25"/>
      <x:c r="H234" s="25"/>
      <x:c r="I234" s="25"/>
      <x:c r="J234" s="25"/>
      <x:c r="K234" s="25"/>
      <x:c r="L234" s="25"/>
      <x:c r="M234" s="25"/>
      <x:c r="N234" s="25"/>
      <x:c r="O234" s="25"/>
      <x:c r="P234" s="25"/>
      <x:c r="Q234" s="25"/>
      <x:c r="R234" s="25"/>
      <x:c r="S234" s="25"/>
      <x:c r="T234" s="25"/>
      <x:c r="U234" s="25"/>
      <x:c r="V234" s="25"/>
      <x:c r="W234" s="25"/>
      <x:c r="X234" s="25"/>
      <x:c r="Y234" s="25"/>
      <x:c r="Z234" s="25"/>
    </x:row>
    <x:row r="235">
      <x:c r="A235" s="25"/>
      <x:c r="B235" s="25"/>
      <x:c r="C235" s="25"/>
      <x:c r="D235" s="25"/>
      <x:c r="E235" s="25"/>
      <x:c r="F235" s="25"/>
      <x:c r="G235" s="25"/>
      <x:c r="H235" s="25"/>
      <x:c r="I235" s="25"/>
      <x:c r="J235" s="25"/>
      <x:c r="K235" s="25"/>
      <x:c r="L235" s="25"/>
      <x:c r="M235" s="25"/>
      <x:c r="N235" s="25"/>
      <x:c r="O235" s="25"/>
      <x:c r="P235" s="25"/>
      <x:c r="Q235" s="25"/>
      <x:c r="R235" s="25"/>
      <x:c r="S235" s="25"/>
      <x:c r="T235" s="25"/>
      <x:c r="U235" s="25"/>
      <x:c r="V235" s="25"/>
      <x:c r="W235" s="25"/>
      <x:c r="X235" s="25"/>
      <x:c r="Y235" s="25"/>
      <x:c r="Z235" s="25"/>
    </x:row>
    <x:row r="236">
      <x:c r="A236" s="25"/>
      <x:c r="B236" s="25"/>
      <x:c r="C236" s="25"/>
      <x:c r="D236" s="25"/>
      <x:c r="E236" s="25"/>
      <x:c r="F236" s="25"/>
      <x:c r="G236" s="25"/>
      <x:c r="H236" s="25"/>
      <x:c r="I236" s="25"/>
      <x:c r="J236" s="25"/>
      <x:c r="K236" s="25"/>
      <x:c r="L236" s="25"/>
      <x:c r="M236" s="25"/>
      <x:c r="N236" s="25"/>
      <x:c r="O236" s="25"/>
      <x:c r="P236" s="25"/>
      <x:c r="Q236" s="25"/>
      <x:c r="R236" s="25"/>
      <x:c r="S236" s="25"/>
      <x:c r="T236" s="25"/>
      <x:c r="U236" s="25"/>
      <x:c r="V236" s="25"/>
      <x:c r="W236" s="25"/>
      <x:c r="X236" s="25"/>
      <x:c r="Y236" s="25"/>
      <x:c r="Z236" s="25"/>
    </x:row>
    <x:row r="237">
      <x:c r="A237" s="25"/>
      <x:c r="B237" s="25"/>
      <x:c r="C237" s="25"/>
      <x:c r="D237" s="25"/>
      <x:c r="E237" s="25"/>
      <x:c r="F237" s="25"/>
      <x:c r="G237" s="25"/>
      <x:c r="H237" s="25"/>
      <x:c r="I237" s="25"/>
      <x:c r="J237" s="25"/>
      <x:c r="K237" s="25"/>
      <x:c r="L237" s="25"/>
      <x:c r="M237" s="25"/>
      <x:c r="N237" s="25"/>
      <x:c r="O237" s="25"/>
      <x:c r="P237" s="25"/>
      <x:c r="Q237" s="25"/>
      <x:c r="R237" s="25"/>
      <x:c r="S237" s="25"/>
      <x:c r="T237" s="25"/>
      <x:c r="U237" s="25"/>
      <x:c r="V237" s="25"/>
      <x:c r="W237" s="25"/>
      <x:c r="X237" s="25"/>
      <x:c r="Y237" s="25"/>
      <x:c r="Z237" s="25"/>
    </x:row>
    <x:row r="238">
      <x:c r="A238" s="25"/>
      <x:c r="B238" s="25"/>
      <x:c r="C238" s="25"/>
      <x:c r="D238" s="25"/>
      <x:c r="E238" s="25"/>
      <x:c r="F238" s="25"/>
      <x:c r="G238" s="25"/>
      <x:c r="H238" s="25"/>
      <x:c r="I238" s="25"/>
      <x:c r="J238" s="25"/>
      <x:c r="K238" s="25"/>
      <x:c r="L238" s="25"/>
      <x:c r="M238" s="25"/>
      <x:c r="N238" s="25"/>
      <x:c r="O238" s="25"/>
      <x:c r="P238" s="25"/>
      <x:c r="Q238" s="25"/>
      <x:c r="R238" s="25"/>
      <x:c r="S238" s="25"/>
      <x:c r="T238" s="25"/>
      <x:c r="U238" s="25"/>
      <x:c r="V238" s="25"/>
      <x:c r="W238" s="25"/>
      <x:c r="X238" s="25"/>
      <x:c r="Y238" s="25"/>
      <x:c r="Z238" s="25"/>
    </x:row>
    <x:row r="239">
      <x:c r="A239" s="25"/>
      <x:c r="B239" s="25"/>
      <x:c r="C239" s="25"/>
      <x:c r="D239" s="25"/>
      <x:c r="E239" s="25"/>
      <x:c r="F239" s="25"/>
      <x:c r="G239" s="25"/>
      <x:c r="H239" s="25"/>
      <x:c r="I239" s="25"/>
      <x:c r="J239" s="25"/>
      <x:c r="K239" s="25"/>
      <x:c r="L239" s="25"/>
      <x:c r="M239" s="25"/>
      <x:c r="N239" s="25"/>
      <x:c r="O239" s="25"/>
      <x:c r="P239" s="25"/>
      <x:c r="Q239" s="25"/>
      <x:c r="R239" s="25"/>
      <x:c r="S239" s="25"/>
      <x:c r="T239" s="25"/>
      <x:c r="U239" s="25"/>
      <x:c r="V239" s="25"/>
      <x:c r="W239" s="25"/>
      <x:c r="X239" s="25"/>
      <x:c r="Y239" s="25"/>
      <x:c r="Z239" s="25"/>
    </x:row>
    <x:row r="240">
      <x:c r="A240" s="25"/>
      <x:c r="B240" s="25"/>
      <x:c r="C240" s="25"/>
      <x:c r="D240" s="25"/>
      <x:c r="E240" s="25"/>
      <x:c r="F240" s="25"/>
      <x:c r="G240" s="25"/>
      <x:c r="H240" s="25"/>
      <x:c r="I240" s="25"/>
      <x:c r="J240" s="25"/>
      <x:c r="K240" s="25"/>
      <x:c r="L240" s="25"/>
      <x:c r="M240" s="25"/>
      <x:c r="N240" s="25"/>
      <x:c r="O240" s="25"/>
      <x:c r="P240" s="25"/>
      <x:c r="Q240" s="25"/>
      <x:c r="R240" s="25"/>
      <x:c r="S240" s="25"/>
      <x:c r="T240" s="25"/>
      <x:c r="U240" s="25"/>
      <x:c r="V240" s="25"/>
      <x:c r="W240" s="25"/>
      <x:c r="X240" s="25"/>
      <x:c r="Y240" s="25"/>
      <x:c r="Z240" s="25"/>
    </x:row>
    <x:row r="241">
      <x:c r="A241" s="25"/>
      <x:c r="B241" s="25"/>
      <x:c r="C241" s="25"/>
      <x:c r="D241" s="25"/>
      <x:c r="E241" s="25"/>
      <x:c r="F241" s="25"/>
      <x:c r="G241" s="25"/>
      <x:c r="H241" s="25"/>
      <x:c r="I241" s="25"/>
      <x:c r="J241" s="25"/>
      <x:c r="K241" s="25"/>
      <x:c r="L241" s="25"/>
      <x:c r="M241" s="25"/>
      <x:c r="N241" s="25"/>
      <x:c r="O241" s="25"/>
      <x:c r="P241" s="25"/>
      <x:c r="Q241" s="25"/>
      <x:c r="R241" s="25"/>
      <x:c r="S241" s="25"/>
      <x:c r="T241" s="25"/>
      <x:c r="U241" s="25"/>
      <x:c r="V241" s="25"/>
      <x:c r="W241" s="25"/>
      <x:c r="X241" s="25"/>
      <x:c r="Y241" s="25"/>
      <x:c r="Z241" s="25"/>
    </x:row>
    <x:row r="242">
      <x:c r="A242" s="25"/>
      <x:c r="B242" s="25"/>
      <x:c r="C242" s="25"/>
      <x:c r="D242" s="25"/>
      <x:c r="E242" s="25"/>
      <x:c r="F242" s="25"/>
      <x:c r="G242" s="25"/>
      <x:c r="H242" s="25"/>
      <x:c r="I242" s="25"/>
      <x:c r="J242" s="25"/>
      <x:c r="K242" s="25"/>
      <x:c r="L242" s="25"/>
      <x:c r="M242" s="25"/>
      <x:c r="N242" s="25"/>
      <x:c r="O242" s="25"/>
      <x:c r="P242" s="25"/>
      <x:c r="Q242" s="25"/>
      <x:c r="R242" s="25"/>
      <x:c r="S242" s="25"/>
      <x:c r="T242" s="25"/>
      <x:c r="U242" s="25"/>
      <x:c r="V242" s="25"/>
      <x:c r="W242" s="25"/>
      <x:c r="X242" s="25"/>
      <x:c r="Y242" s="25"/>
      <x:c r="Z242" s="25"/>
    </x:row>
    <x:row r="243">
      <x:c r="A243" s="25"/>
      <x:c r="B243" s="25"/>
      <x:c r="C243" s="25"/>
      <x:c r="D243" s="25"/>
      <x:c r="E243" s="25"/>
      <x:c r="F243" s="25"/>
      <x:c r="G243" s="25"/>
      <x:c r="H243" s="25"/>
      <x:c r="I243" s="25"/>
      <x:c r="J243" s="25"/>
      <x:c r="K243" s="25"/>
      <x:c r="L243" s="25"/>
      <x:c r="M243" s="25"/>
      <x:c r="N243" s="25"/>
      <x:c r="O243" s="25"/>
      <x:c r="P243" s="25"/>
      <x:c r="Q243" s="25"/>
      <x:c r="R243" s="25"/>
      <x:c r="S243" s="25"/>
      <x:c r="T243" s="25"/>
      <x:c r="U243" s="25"/>
      <x:c r="V243" s="25"/>
      <x:c r="W243" s="25"/>
      <x:c r="X243" s="25"/>
      <x:c r="Y243" s="25"/>
      <x:c r="Z243" s="25"/>
    </x:row>
    <x:row r="244">
      <x:c r="A244" s="25"/>
      <x:c r="B244" s="25"/>
      <x:c r="C244" s="25"/>
      <x:c r="D244" s="25"/>
      <x:c r="E244" s="25"/>
      <x:c r="F244" s="25"/>
      <x:c r="G244" s="25"/>
      <x:c r="H244" s="25"/>
      <x:c r="I244" s="25"/>
      <x:c r="J244" s="25"/>
      <x:c r="K244" s="25"/>
      <x:c r="L244" s="25"/>
      <x:c r="M244" s="25"/>
      <x:c r="N244" s="25"/>
      <x:c r="O244" s="25"/>
      <x:c r="P244" s="25"/>
      <x:c r="Q244" s="25"/>
      <x:c r="R244" s="25"/>
      <x:c r="S244" s="25"/>
      <x:c r="T244" s="25"/>
      <x:c r="U244" s="25"/>
      <x:c r="V244" s="25"/>
      <x:c r="W244" s="25"/>
      <x:c r="X244" s="25"/>
      <x:c r="Y244" s="25"/>
      <x:c r="Z244" s="25"/>
    </x:row>
    <x:row r="245">
      <x:c r="A245" s="25"/>
      <x:c r="B245" s="25"/>
      <x:c r="C245" s="25"/>
      <x:c r="D245" s="25"/>
      <x:c r="E245" s="25"/>
      <x:c r="F245" s="25"/>
      <x:c r="G245" s="25"/>
      <x:c r="H245" s="25"/>
      <x:c r="I245" s="25"/>
      <x:c r="J245" s="25"/>
      <x:c r="K245" s="25"/>
      <x:c r="L245" s="25"/>
      <x:c r="M245" s="25"/>
      <x:c r="N245" s="25"/>
      <x:c r="O245" s="25"/>
      <x:c r="P245" s="25"/>
      <x:c r="Q245" s="25"/>
      <x:c r="R245" s="25"/>
      <x:c r="S245" s="25"/>
      <x:c r="T245" s="25"/>
      <x:c r="U245" s="25"/>
      <x:c r="V245" s="25"/>
      <x:c r="W245" s="25"/>
      <x:c r="X245" s="25"/>
      <x:c r="Y245" s="25"/>
      <x:c r="Z245" s="25"/>
    </x:row>
    <x:row r="246">
      <x:c r="A246" s="25"/>
      <x:c r="B246" s="25"/>
      <x:c r="C246" s="25"/>
      <x:c r="D246" s="25"/>
      <x:c r="E246" s="25"/>
      <x:c r="F246" s="25"/>
      <x:c r="G246" s="25"/>
      <x:c r="H246" s="25"/>
      <x:c r="I246" s="25"/>
      <x:c r="J246" s="25"/>
      <x:c r="K246" s="25"/>
      <x:c r="L246" s="25"/>
      <x:c r="M246" s="25"/>
      <x:c r="N246" s="25"/>
      <x:c r="O246" s="25"/>
      <x:c r="P246" s="25"/>
      <x:c r="Q246" s="25"/>
      <x:c r="R246" s="25"/>
      <x:c r="S246" s="25"/>
      <x:c r="T246" s="25"/>
      <x:c r="U246" s="25"/>
      <x:c r="V246" s="25"/>
      <x:c r="W246" s="25"/>
      <x:c r="X246" s="25"/>
      <x:c r="Y246" s="25"/>
      <x:c r="Z246" s="25"/>
    </x:row>
    <x:row r="247">
      <x:c r="A247" s="25"/>
      <x:c r="B247" s="25"/>
      <x:c r="C247" s="25"/>
      <x:c r="D247" s="25"/>
      <x:c r="E247" s="25"/>
      <x:c r="F247" s="25"/>
      <x:c r="G247" s="25"/>
      <x:c r="H247" s="25"/>
      <x:c r="I247" s="25"/>
      <x:c r="J247" s="25"/>
      <x:c r="K247" s="25"/>
      <x:c r="L247" s="25"/>
      <x:c r="M247" s="25"/>
      <x:c r="N247" s="25"/>
      <x:c r="O247" s="25"/>
      <x:c r="P247" s="25"/>
      <x:c r="Q247" s="25"/>
      <x:c r="R247" s="25"/>
      <x:c r="S247" s="25"/>
      <x:c r="T247" s="25"/>
      <x:c r="U247" s="25"/>
      <x:c r="V247" s="25"/>
      <x:c r="W247" s="25"/>
      <x:c r="X247" s="25"/>
      <x:c r="Y247" s="25"/>
      <x:c r="Z247" s="25"/>
    </x:row>
    <x:row r="248">
      <x:c r="A248" s="25"/>
      <x:c r="B248" s="25"/>
      <x:c r="C248" s="25"/>
      <x:c r="D248" s="25"/>
      <x:c r="E248" s="25"/>
      <x:c r="F248" s="25"/>
      <x:c r="G248" s="25"/>
      <x:c r="H248" s="25"/>
      <x:c r="I248" s="25"/>
      <x:c r="J248" s="25"/>
      <x:c r="K248" s="25"/>
      <x:c r="L248" s="25"/>
      <x:c r="M248" s="25"/>
      <x:c r="N248" s="25"/>
      <x:c r="O248" s="25"/>
      <x:c r="P248" s="25"/>
      <x:c r="Q248" s="25"/>
      <x:c r="R248" s="25"/>
      <x:c r="S248" s="25"/>
      <x:c r="T248" s="25"/>
      <x:c r="U248" s="25"/>
      <x:c r="V248" s="25"/>
      <x:c r="W248" s="25"/>
      <x:c r="X248" s="25"/>
      <x:c r="Y248" s="25"/>
      <x:c r="Z248" s="25"/>
    </x:row>
    <x:row r="249">
      <x:c r="A249" s="25"/>
      <x:c r="B249" s="25"/>
      <x:c r="C249" s="25"/>
      <x:c r="D249" s="25"/>
      <x:c r="E249" s="25"/>
      <x:c r="F249" s="25"/>
      <x:c r="G249" s="25"/>
      <x:c r="H249" s="25"/>
      <x:c r="I249" s="25"/>
      <x:c r="J249" s="25"/>
      <x:c r="K249" s="25"/>
      <x:c r="L249" s="25"/>
      <x:c r="M249" s="25"/>
      <x:c r="N249" s="25"/>
      <x:c r="O249" s="25"/>
      <x:c r="P249" s="25"/>
      <x:c r="Q249" s="25"/>
      <x:c r="R249" s="25"/>
      <x:c r="S249" s="25"/>
      <x:c r="T249" s="25"/>
      <x:c r="U249" s="25"/>
      <x:c r="V249" s="25"/>
      <x:c r="W249" s="25"/>
      <x:c r="X249" s="25"/>
      <x:c r="Y249" s="25"/>
      <x:c r="Z249" s="25"/>
    </x:row>
    <x:row r="250">
      <x:c r="A250" s="25"/>
      <x:c r="B250" s="25"/>
      <x:c r="C250" s="25"/>
      <x:c r="D250" s="25"/>
      <x:c r="E250" s="25"/>
      <x:c r="F250" s="25"/>
      <x:c r="G250" s="25"/>
      <x:c r="H250" s="25"/>
      <x:c r="I250" s="25"/>
      <x:c r="J250" s="25"/>
      <x:c r="K250" s="25"/>
      <x:c r="L250" s="25"/>
      <x:c r="M250" s="25"/>
      <x:c r="N250" s="25"/>
      <x:c r="O250" s="25"/>
      <x:c r="P250" s="25"/>
      <x:c r="Q250" s="25"/>
      <x:c r="R250" s="25"/>
      <x:c r="S250" s="25"/>
      <x:c r="T250" s="25"/>
      <x:c r="U250" s="25"/>
      <x:c r="V250" s="25"/>
      <x:c r="W250" s="25"/>
      <x:c r="X250" s="25"/>
      <x:c r="Y250" s="25"/>
      <x:c r="Z250" s="25"/>
    </x:row>
    <x:row r="251">
      <x:c r="A251" s="25"/>
      <x:c r="B251" s="25"/>
      <x:c r="C251" s="25"/>
      <x:c r="D251" s="25"/>
      <x:c r="E251" s="25"/>
      <x:c r="F251" s="25"/>
      <x:c r="G251" s="25"/>
      <x:c r="H251" s="25"/>
      <x:c r="I251" s="25"/>
      <x:c r="J251" s="25"/>
      <x:c r="K251" s="25"/>
      <x:c r="L251" s="25"/>
      <x:c r="M251" s="25"/>
      <x:c r="N251" s="25"/>
      <x:c r="O251" s="25"/>
      <x:c r="P251" s="25"/>
      <x:c r="Q251" s="25"/>
      <x:c r="R251" s="25"/>
      <x:c r="S251" s="25"/>
      <x:c r="T251" s="25"/>
      <x:c r="U251" s="25"/>
      <x:c r="V251" s="25"/>
      <x:c r="W251" s="25"/>
      <x:c r="X251" s="25"/>
      <x:c r="Y251" s="25"/>
      <x:c r="Z251" s="25"/>
    </x:row>
    <x:row r="252">
      <x:c r="A252" s="25"/>
      <x:c r="B252" s="25"/>
      <x:c r="C252" s="25"/>
      <x:c r="D252" s="25"/>
      <x:c r="E252" s="25"/>
      <x:c r="F252" s="25"/>
      <x:c r="G252" s="25"/>
      <x:c r="H252" s="25"/>
      <x:c r="I252" s="25"/>
      <x:c r="J252" s="25"/>
      <x:c r="K252" s="25"/>
      <x:c r="L252" s="25"/>
      <x:c r="M252" s="25"/>
      <x:c r="N252" s="25"/>
      <x:c r="O252" s="25"/>
      <x:c r="P252" s="25"/>
      <x:c r="Q252" s="25"/>
      <x:c r="R252" s="25"/>
      <x:c r="S252" s="25"/>
      <x:c r="T252" s="25"/>
      <x:c r="U252" s="25"/>
      <x:c r="V252" s="25"/>
      <x:c r="W252" s="25"/>
      <x:c r="X252" s="25"/>
      <x:c r="Y252" s="25"/>
      <x:c r="Z252" s="25"/>
    </x:row>
    <x:row r="253">
      <x:c r="A253" s="25"/>
      <x:c r="B253" s="25"/>
      <x:c r="C253" s="25"/>
      <x:c r="D253" s="25"/>
      <x:c r="E253" s="25"/>
      <x:c r="F253" s="25"/>
      <x:c r="G253" s="25"/>
      <x:c r="H253" s="25"/>
      <x:c r="I253" s="25"/>
      <x:c r="J253" s="25"/>
      <x:c r="K253" s="25"/>
      <x:c r="L253" s="25"/>
      <x:c r="M253" s="25"/>
      <x:c r="N253" s="25"/>
      <x:c r="O253" s="25"/>
      <x:c r="P253" s="25"/>
      <x:c r="Q253" s="25"/>
      <x:c r="R253" s="25"/>
      <x:c r="S253" s="25"/>
      <x:c r="T253" s="25"/>
      <x:c r="U253" s="25"/>
      <x:c r="V253" s="25"/>
      <x:c r="W253" s="25"/>
      <x:c r="X253" s="25"/>
      <x:c r="Y253" s="25"/>
      <x:c r="Z253" s="25"/>
    </x:row>
    <x:row r="254">
      <x:c r="A254" s="25"/>
      <x:c r="B254" s="25"/>
      <x:c r="C254" s="25"/>
      <x:c r="D254" s="25"/>
      <x:c r="E254" s="25"/>
      <x:c r="F254" s="25"/>
      <x:c r="G254" s="25"/>
      <x:c r="H254" s="25"/>
      <x:c r="I254" s="25"/>
      <x:c r="J254" s="25"/>
      <x:c r="K254" s="25"/>
      <x:c r="L254" s="25"/>
      <x:c r="M254" s="25"/>
      <x:c r="N254" s="25"/>
      <x:c r="O254" s="25"/>
      <x:c r="P254" s="25"/>
      <x:c r="Q254" s="25"/>
      <x:c r="R254" s="25"/>
      <x:c r="S254" s="25"/>
      <x:c r="T254" s="25"/>
      <x:c r="U254" s="25"/>
      <x:c r="V254" s="25"/>
      <x:c r="W254" s="25"/>
      <x:c r="X254" s="25"/>
      <x:c r="Y254" s="25"/>
      <x:c r="Z254" s="25"/>
    </x:row>
    <x:row r="255">
      <x:c r="A255" s="25"/>
      <x:c r="B255" s="25"/>
      <x:c r="C255" s="25"/>
      <x:c r="D255" s="25"/>
      <x:c r="E255" s="25"/>
      <x:c r="F255" s="25"/>
      <x:c r="G255" s="25"/>
      <x:c r="H255" s="25"/>
      <x:c r="I255" s="25"/>
      <x:c r="J255" s="25"/>
      <x:c r="K255" s="25"/>
      <x:c r="L255" s="25"/>
      <x:c r="M255" s="25"/>
      <x:c r="N255" s="25"/>
      <x:c r="O255" s="25"/>
      <x:c r="P255" s="25"/>
      <x:c r="Q255" s="25"/>
      <x:c r="R255" s="25"/>
      <x:c r="S255" s="25"/>
      <x:c r="T255" s="25"/>
      <x:c r="U255" s="25"/>
      <x:c r="V255" s="25"/>
      <x:c r="W255" s="25"/>
      <x:c r="X255" s="25"/>
      <x:c r="Y255" s="25"/>
      <x:c r="Z255" s="25"/>
    </x:row>
    <x:row r="256">
      <x:c r="A256" s="25"/>
      <x:c r="B256" s="25"/>
      <x:c r="C256" s="25"/>
      <x:c r="D256" s="25"/>
      <x:c r="E256" s="25"/>
      <x:c r="F256" s="25"/>
      <x:c r="G256" s="25"/>
      <x:c r="H256" s="25"/>
      <x:c r="I256" s="25"/>
      <x:c r="J256" s="25"/>
      <x:c r="K256" s="25"/>
      <x:c r="L256" s="25"/>
      <x:c r="M256" s="25"/>
      <x:c r="N256" s="25"/>
      <x:c r="O256" s="25"/>
      <x:c r="P256" s="25"/>
      <x:c r="Q256" s="25"/>
      <x:c r="R256" s="25"/>
      <x:c r="S256" s="25"/>
      <x:c r="T256" s="25"/>
      <x:c r="U256" s="25"/>
      <x:c r="V256" s="25"/>
      <x:c r="W256" s="25"/>
      <x:c r="X256" s="25"/>
      <x:c r="Y256" s="25"/>
      <x:c r="Z256" s="25"/>
    </x:row>
    <x:row r="257">
      <x:c r="A257" s="25"/>
      <x:c r="B257" s="25"/>
      <x:c r="C257" s="25"/>
      <x:c r="D257" s="25"/>
      <x:c r="E257" s="25"/>
      <x:c r="F257" s="25"/>
      <x:c r="G257" s="25"/>
      <x:c r="H257" s="25"/>
      <x:c r="I257" s="25"/>
      <x:c r="J257" s="25"/>
      <x:c r="K257" s="25"/>
      <x:c r="L257" s="25"/>
      <x:c r="M257" s="25"/>
      <x:c r="N257" s="25"/>
      <x:c r="O257" s="25"/>
      <x:c r="P257" s="25"/>
      <x:c r="Q257" s="25"/>
      <x:c r="R257" s="25"/>
      <x:c r="S257" s="25"/>
      <x:c r="T257" s="25"/>
      <x:c r="U257" s="25"/>
      <x:c r="V257" s="25"/>
      <x:c r="W257" s="25"/>
      <x:c r="X257" s="25"/>
      <x:c r="Y257" s="25"/>
      <x:c r="Z257" s="25"/>
    </x:row>
    <x:row r="258">
      <x:c r="A258" s="25"/>
      <x:c r="B258" s="25"/>
      <x:c r="C258" s="25"/>
      <x:c r="D258" s="25"/>
      <x:c r="E258" s="25"/>
      <x:c r="F258" s="25"/>
      <x:c r="G258" s="25"/>
      <x:c r="H258" s="25"/>
      <x:c r="I258" s="25"/>
      <x:c r="J258" s="25"/>
      <x:c r="K258" s="25"/>
      <x:c r="L258" s="25"/>
      <x:c r="M258" s="25"/>
      <x:c r="N258" s="25"/>
      <x:c r="O258" s="25"/>
      <x:c r="P258" s="25"/>
      <x:c r="Q258" s="25"/>
      <x:c r="R258" s="25"/>
      <x:c r="S258" s="25"/>
      <x:c r="T258" s="25"/>
      <x:c r="U258" s="25"/>
      <x:c r="V258" s="25"/>
      <x:c r="W258" s="25"/>
      <x:c r="X258" s="25"/>
      <x:c r="Y258" s="25"/>
      <x:c r="Z258" s="25"/>
    </x:row>
    <x:row r="259">
      <x:c r="A259" s="25"/>
      <x:c r="B259" s="25"/>
      <x:c r="C259" s="25"/>
      <x:c r="D259" s="25"/>
      <x:c r="E259" s="25"/>
      <x:c r="F259" s="25"/>
      <x:c r="G259" s="25"/>
      <x:c r="H259" s="25"/>
      <x:c r="I259" s="25"/>
      <x:c r="J259" s="25"/>
      <x:c r="K259" s="25"/>
      <x:c r="L259" s="25"/>
      <x:c r="M259" s="25"/>
      <x:c r="N259" s="25"/>
      <x:c r="O259" s="25"/>
      <x:c r="P259" s="25"/>
      <x:c r="Q259" s="25"/>
      <x:c r="R259" s="25"/>
      <x:c r="S259" s="25"/>
      <x:c r="T259" s="25"/>
      <x:c r="U259" s="25"/>
      <x:c r="V259" s="25"/>
      <x:c r="W259" s="25"/>
      <x:c r="X259" s="25"/>
      <x:c r="Y259" s="25"/>
      <x:c r="Z259" s="25"/>
    </x:row>
    <x:row r="260">
      <x:c r="A260" s="25"/>
      <x:c r="B260" s="25"/>
      <x:c r="C260" s="25"/>
      <x:c r="D260" s="25"/>
      <x:c r="E260" s="25"/>
      <x:c r="F260" s="25"/>
      <x:c r="G260" s="25"/>
      <x:c r="H260" s="25"/>
      <x:c r="I260" s="25"/>
      <x:c r="J260" s="25"/>
      <x:c r="K260" s="25"/>
      <x:c r="L260" s="25"/>
      <x:c r="M260" s="25"/>
      <x:c r="N260" s="25"/>
      <x:c r="O260" s="25"/>
      <x:c r="P260" s="25"/>
      <x:c r="Q260" s="25"/>
      <x:c r="R260" s="25"/>
      <x:c r="S260" s="25"/>
      <x:c r="T260" s="25"/>
      <x:c r="U260" s="25"/>
      <x:c r="V260" s="25"/>
      <x:c r="W260" s="25"/>
      <x:c r="X260" s="25"/>
      <x:c r="Y260" s="25"/>
      <x:c r="Z260" s="25"/>
    </x:row>
    <x:row r="261">
      <x:c r="A261" s="25"/>
      <x:c r="B261" s="25"/>
      <x:c r="C261" s="25"/>
      <x:c r="D261" s="25"/>
      <x:c r="E261" s="25"/>
      <x:c r="F261" s="25"/>
      <x:c r="G261" s="25"/>
      <x:c r="H261" s="25"/>
      <x:c r="I261" s="25"/>
      <x:c r="J261" s="25"/>
      <x:c r="K261" s="25"/>
      <x:c r="L261" s="25"/>
      <x:c r="M261" s="25"/>
      <x:c r="N261" s="25"/>
      <x:c r="O261" s="25"/>
      <x:c r="P261" s="25"/>
      <x:c r="Q261" s="25"/>
      <x:c r="R261" s="25"/>
      <x:c r="S261" s="25"/>
      <x:c r="T261" s="25"/>
      <x:c r="U261" s="25"/>
      <x:c r="V261" s="25"/>
      <x:c r="W261" s="25"/>
      <x:c r="X261" s="25"/>
      <x:c r="Y261" s="25"/>
      <x:c r="Z261" s="25"/>
    </x:row>
    <x:row r="262">
      <x:c r="A262" s="25"/>
      <x:c r="B262" s="25"/>
      <x:c r="C262" s="25"/>
      <x:c r="D262" s="25"/>
      <x:c r="E262" s="25"/>
      <x:c r="F262" s="25"/>
      <x:c r="G262" s="25"/>
      <x:c r="H262" s="25"/>
      <x:c r="I262" s="25"/>
      <x:c r="J262" s="25"/>
      <x:c r="K262" s="25"/>
      <x:c r="L262" s="25"/>
      <x:c r="M262" s="25"/>
      <x:c r="N262" s="25"/>
      <x:c r="O262" s="25"/>
      <x:c r="P262" s="25"/>
      <x:c r="Q262" s="25"/>
      <x:c r="R262" s="25"/>
      <x:c r="S262" s="25"/>
      <x:c r="T262" s="25"/>
      <x:c r="U262" s="25"/>
      <x:c r="V262" s="25"/>
      <x:c r="W262" s="25"/>
      <x:c r="X262" s="25"/>
      <x:c r="Y262" s="25"/>
      <x:c r="Z262" s="25"/>
    </x:row>
    <x:row r="263">
      <x:c r="A263" s="25"/>
      <x:c r="B263" s="25"/>
      <x:c r="C263" s="25"/>
      <x:c r="D263" s="25"/>
      <x:c r="E263" s="25"/>
      <x:c r="F263" s="25"/>
      <x:c r="G263" s="25"/>
      <x:c r="H263" s="25"/>
      <x:c r="I263" s="25"/>
      <x:c r="J263" s="25"/>
      <x:c r="K263" s="25"/>
      <x:c r="L263" s="25"/>
      <x:c r="M263" s="25"/>
      <x:c r="N263" s="25"/>
      <x:c r="O263" s="25"/>
      <x:c r="P263" s="25"/>
      <x:c r="Q263" s="25"/>
      <x:c r="R263" s="25"/>
      <x:c r="S263" s="25"/>
      <x:c r="T263" s="25"/>
      <x:c r="U263" s="25"/>
      <x:c r="V263" s="25"/>
      <x:c r="W263" s="25"/>
      <x:c r="X263" s="25"/>
      <x:c r="Y263" s="25"/>
      <x:c r="Z263" s="25"/>
    </x:row>
    <x:row r="264">
      <x:c r="A264" s="25"/>
      <x:c r="B264" s="25"/>
      <x:c r="C264" s="25"/>
      <x:c r="D264" s="25"/>
      <x:c r="E264" s="25"/>
      <x:c r="F264" s="25"/>
      <x:c r="G264" s="25"/>
      <x:c r="H264" s="25"/>
      <x:c r="I264" s="25"/>
      <x:c r="J264" s="25"/>
      <x:c r="K264" s="25"/>
      <x:c r="L264" s="25"/>
      <x:c r="M264" s="25"/>
      <x:c r="N264" s="25"/>
      <x:c r="O264" s="25"/>
      <x:c r="P264" s="25"/>
      <x:c r="Q264" s="25"/>
      <x:c r="R264" s="25"/>
      <x:c r="S264" s="25"/>
      <x:c r="T264" s="25"/>
      <x:c r="U264" s="25"/>
      <x:c r="V264" s="25"/>
      <x:c r="W264" s="25"/>
      <x:c r="X264" s="25"/>
      <x:c r="Y264" s="25"/>
      <x:c r="Z264" s="25"/>
    </x:row>
    <x:row r="265">
      <x:c r="A265" s="25"/>
      <x:c r="B265" s="25"/>
      <x:c r="C265" s="25"/>
      <x:c r="D265" s="25"/>
      <x:c r="E265" s="25"/>
      <x:c r="F265" s="25"/>
      <x:c r="G265" s="25"/>
      <x:c r="H265" s="25"/>
      <x:c r="I265" s="25"/>
      <x:c r="J265" s="25"/>
      <x:c r="K265" s="25"/>
      <x:c r="L265" s="25"/>
      <x:c r="M265" s="25"/>
      <x:c r="N265" s="25"/>
      <x:c r="O265" s="25"/>
      <x:c r="P265" s="25"/>
      <x:c r="Q265" s="25"/>
      <x:c r="R265" s="25"/>
      <x:c r="S265" s="25"/>
      <x:c r="T265" s="25"/>
      <x:c r="U265" s="25"/>
      <x:c r="V265" s="25"/>
      <x:c r="W265" s="25"/>
      <x:c r="X265" s="25"/>
      <x:c r="Y265" s="25"/>
      <x:c r="Z265" s="25"/>
    </x:row>
    <x:row r="266">
      <x:c r="A266" s="25"/>
      <x:c r="B266" s="25"/>
      <x:c r="C266" s="25"/>
      <x:c r="D266" s="25"/>
      <x:c r="E266" s="25"/>
      <x:c r="F266" s="25"/>
      <x:c r="G266" s="25"/>
      <x:c r="H266" s="25"/>
      <x:c r="I266" s="25"/>
      <x:c r="J266" s="25"/>
      <x:c r="K266" s="25"/>
      <x:c r="L266" s="25"/>
      <x:c r="M266" s="25"/>
      <x:c r="N266" s="25"/>
      <x:c r="O266" s="25"/>
      <x:c r="P266" s="25"/>
      <x:c r="Q266" s="25"/>
      <x:c r="R266" s="25"/>
      <x:c r="S266" s="25"/>
      <x:c r="T266" s="25"/>
      <x:c r="U266" s="25"/>
      <x:c r="V266" s="25"/>
      <x:c r="W266" s="25"/>
      <x:c r="X266" s="25"/>
      <x:c r="Y266" s="25"/>
      <x:c r="Z266" s="25"/>
    </x:row>
    <x:row r="267">
      <x:c r="A267" s="25"/>
      <x:c r="B267" s="25"/>
      <x:c r="C267" s="25"/>
      <x:c r="D267" s="25"/>
      <x:c r="E267" s="25"/>
      <x:c r="F267" s="25"/>
      <x:c r="G267" s="25"/>
      <x:c r="H267" s="25"/>
      <x:c r="I267" s="25"/>
      <x:c r="J267" s="25"/>
      <x:c r="K267" s="25"/>
      <x:c r="L267" s="25"/>
      <x:c r="M267" s="25"/>
      <x:c r="N267" s="25"/>
      <x:c r="O267" s="25"/>
      <x:c r="P267" s="25"/>
      <x:c r="Q267" s="25"/>
      <x:c r="R267" s="25"/>
      <x:c r="S267" s="25"/>
      <x:c r="T267" s="25"/>
      <x:c r="U267" s="25"/>
      <x:c r="V267" s="25"/>
      <x:c r="W267" s="25"/>
      <x:c r="X267" s="25"/>
      <x:c r="Y267" s="25"/>
      <x:c r="Z267" s="25"/>
    </x:row>
    <x:row r="268">
      <x:c r="A268" s="25"/>
      <x:c r="B268" s="25"/>
      <x:c r="C268" s="25"/>
      <x:c r="D268" s="25"/>
      <x:c r="E268" s="25"/>
      <x:c r="F268" s="25"/>
      <x:c r="G268" s="25"/>
      <x:c r="H268" s="25"/>
      <x:c r="I268" s="25"/>
      <x:c r="J268" s="25"/>
      <x:c r="K268" s="25"/>
      <x:c r="L268" s="25"/>
      <x:c r="M268" s="25"/>
      <x:c r="N268" s="25"/>
      <x:c r="O268" s="25"/>
      <x:c r="P268" s="25"/>
      <x:c r="Q268" s="25"/>
      <x:c r="R268" s="25"/>
      <x:c r="S268" s="25"/>
      <x:c r="T268" s="25"/>
      <x:c r="U268" s="25"/>
      <x:c r="V268" s="25"/>
      <x:c r="W268" s="25"/>
      <x:c r="X268" s="25"/>
      <x:c r="Y268" s="25"/>
      <x:c r="Z268" s="25"/>
    </x:row>
    <x:row r="269">
      <x:c r="A269" s="25"/>
      <x:c r="B269" s="25"/>
      <x:c r="C269" s="25"/>
      <x:c r="D269" s="25"/>
      <x:c r="E269" s="25"/>
      <x:c r="F269" s="25"/>
      <x:c r="G269" s="25"/>
      <x:c r="H269" s="25"/>
      <x:c r="I269" s="25"/>
      <x:c r="J269" s="25"/>
      <x:c r="K269" s="25"/>
      <x:c r="L269" s="25"/>
      <x:c r="M269" s="25"/>
      <x:c r="N269" s="25"/>
      <x:c r="O269" s="25"/>
      <x:c r="P269" s="25"/>
      <x:c r="Q269" s="25"/>
      <x:c r="R269" s="25"/>
      <x:c r="S269" s="25"/>
      <x:c r="T269" s="25"/>
      <x:c r="U269" s="25"/>
      <x:c r="V269" s="25"/>
      <x:c r="W269" s="25"/>
      <x:c r="X269" s="25"/>
      <x:c r="Y269" s="25"/>
      <x:c r="Z269" s="25"/>
    </x:row>
    <x:row r="270">
      <x:c r="A270" s="25"/>
      <x:c r="B270" s="25"/>
      <x:c r="C270" s="25"/>
      <x:c r="D270" s="25"/>
      <x:c r="E270" s="25"/>
      <x:c r="F270" s="25"/>
      <x:c r="G270" s="25"/>
      <x:c r="H270" s="25"/>
      <x:c r="I270" s="25"/>
      <x:c r="J270" s="25"/>
      <x:c r="K270" s="25"/>
      <x:c r="L270" s="25"/>
      <x:c r="M270" s="25"/>
      <x:c r="N270" s="25"/>
      <x:c r="O270" s="25"/>
      <x:c r="P270" s="25"/>
      <x:c r="Q270" s="25"/>
      <x:c r="R270" s="25"/>
      <x:c r="S270" s="25"/>
      <x:c r="T270" s="25"/>
      <x:c r="U270" s="25"/>
      <x:c r="V270" s="25"/>
      <x:c r="W270" s="25"/>
      <x:c r="X270" s="25"/>
      <x:c r="Y270" s="25"/>
      <x:c r="Z270" s="25"/>
    </x:row>
    <x:row r="271">
      <x:c r="A271" s="25"/>
      <x:c r="B271" s="25"/>
      <x:c r="C271" s="25"/>
      <x:c r="D271" s="25"/>
      <x:c r="E271" s="25"/>
      <x:c r="F271" s="25"/>
      <x:c r="G271" s="25"/>
      <x:c r="H271" s="25"/>
      <x:c r="I271" s="25"/>
      <x:c r="J271" s="25"/>
      <x:c r="K271" s="25"/>
      <x:c r="L271" s="25"/>
      <x:c r="M271" s="25"/>
      <x:c r="N271" s="25"/>
      <x:c r="O271" s="25"/>
      <x:c r="P271" s="25"/>
      <x:c r="Q271" s="25"/>
      <x:c r="R271" s="25"/>
      <x:c r="S271" s="25"/>
      <x:c r="T271" s="25"/>
      <x:c r="U271" s="25"/>
      <x:c r="V271" s="25"/>
      <x:c r="W271" s="25"/>
      <x:c r="X271" s="25"/>
      <x:c r="Y271" s="25"/>
      <x:c r="Z271" s="25"/>
    </x:row>
    <x:row r="272">
      <x:c r="A272" s="25"/>
      <x:c r="B272" s="25"/>
      <x:c r="C272" s="25"/>
      <x:c r="D272" s="25"/>
      <x:c r="E272" s="25"/>
      <x:c r="F272" s="25"/>
      <x:c r="G272" s="25"/>
      <x:c r="H272" s="25"/>
      <x:c r="I272" s="25"/>
      <x:c r="J272" s="25"/>
      <x:c r="K272" s="25"/>
      <x:c r="L272" s="25"/>
      <x:c r="M272" s="25"/>
      <x:c r="N272" s="25"/>
      <x:c r="O272" s="25"/>
      <x:c r="P272" s="25"/>
      <x:c r="Q272" s="25"/>
      <x:c r="R272" s="25"/>
      <x:c r="S272" s="25"/>
      <x:c r="T272" s="25"/>
      <x:c r="U272" s="25"/>
      <x:c r="V272" s="25"/>
      <x:c r="W272" s="25"/>
      <x:c r="X272" s="25"/>
      <x:c r="Y272" s="25"/>
      <x:c r="Z272" s="25"/>
    </x:row>
    <x:row r="273">
      <x:c r="A273" s="25"/>
      <x:c r="B273" s="25"/>
      <x:c r="C273" s="25"/>
      <x:c r="D273" s="25"/>
      <x:c r="E273" s="25"/>
      <x:c r="F273" s="25"/>
      <x:c r="G273" s="25"/>
      <x:c r="H273" s="25"/>
      <x:c r="I273" s="25"/>
      <x:c r="J273" s="25"/>
      <x:c r="K273" s="25"/>
      <x:c r="L273" s="25"/>
      <x:c r="M273" s="25"/>
      <x:c r="N273" s="25"/>
      <x:c r="O273" s="25"/>
      <x:c r="P273" s="25"/>
      <x:c r="Q273" s="25"/>
      <x:c r="R273" s="25"/>
      <x:c r="S273" s="25"/>
      <x:c r="T273" s="25"/>
      <x:c r="U273" s="25"/>
      <x:c r="V273" s="25"/>
      <x:c r="W273" s="25"/>
      <x:c r="X273" s="25"/>
      <x:c r="Y273" s="25"/>
      <x:c r="Z273" s="25"/>
    </x:row>
    <x:row r="274">
      <x:c r="A274" s="25"/>
      <x:c r="B274" s="25"/>
      <x:c r="C274" s="25"/>
      <x:c r="D274" s="25"/>
      <x:c r="E274" s="25"/>
      <x:c r="F274" s="25"/>
      <x:c r="G274" s="25"/>
      <x:c r="H274" s="25"/>
      <x:c r="I274" s="25"/>
      <x:c r="J274" s="25"/>
      <x:c r="K274" s="25"/>
      <x:c r="L274" s="25"/>
      <x:c r="M274" s="25"/>
      <x:c r="N274" s="25"/>
      <x:c r="O274" s="25"/>
      <x:c r="P274" s="25"/>
      <x:c r="Q274" s="25"/>
      <x:c r="R274" s="25"/>
      <x:c r="S274" s="25"/>
      <x:c r="T274" s="25"/>
      <x:c r="U274" s="25"/>
      <x:c r="V274" s="25"/>
      <x:c r="W274" s="25"/>
      <x:c r="X274" s="25"/>
      <x:c r="Y274" s="25"/>
      <x:c r="Z274" s="25"/>
    </x:row>
    <x:row r="275">
      <x:c r="A275" s="25"/>
      <x:c r="B275" s="25"/>
      <x:c r="C275" s="25"/>
      <x:c r="D275" s="25"/>
      <x:c r="E275" s="25"/>
      <x:c r="F275" s="25"/>
      <x:c r="G275" s="25"/>
      <x:c r="H275" s="25"/>
      <x:c r="I275" s="25"/>
      <x:c r="J275" s="25"/>
      <x:c r="K275" s="25"/>
      <x:c r="L275" s="25"/>
      <x:c r="M275" s="25"/>
      <x:c r="N275" s="25"/>
      <x:c r="O275" s="25"/>
      <x:c r="P275" s="25"/>
      <x:c r="Q275" s="25"/>
      <x:c r="R275" s="25"/>
      <x:c r="S275" s="25"/>
      <x:c r="T275" s="25"/>
      <x:c r="U275" s="25"/>
      <x:c r="V275" s="25"/>
      <x:c r="W275" s="25"/>
      <x:c r="X275" s="25"/>
      <x:c r="Y275" s="25"/>
      <x:c r="Z275" s="25"/>
    </x:row>
    <x:row r="276">
      <x:c r="A276" s="25"/>
      <x:c r="B276" s="25"/>
      <x:c r="C276" s="25"/>
      <x:c r="D276" s="25"/>
      <x:c r="E276" s="25"/>
      <x:c r="F276" s="25"/>
      <x:c r="G276" s="25"/>
      <x:c r="H276" s="25"/>
      <x:c r="I276" s="25"/>
      <x:c r="J276" s="25"/>
      <x:c r="K276" s="25"/>
      <x:c r="L276" s="25"/>
      <x:c r="M276" s="25"/>
      <x:c r="N276" s="25"/>
      <x:c r="O276" s="25"/>
      <x:c r="P276" s="25"/>
      <x:c r="Q276" s="25"/>
      <x:c r="R276" s="25"/>
      <x:c r="S276" s="25"/>
      <x:c r="T276" s="25"/>
      <x:c r="U276" s="25"/>
      <x:c r="V276" s="25"/>
      <x:c r="W276" s="25"/>
      <x:c r="X276" s="25"/>
      <x:c r="Y276" s="25"/>
      <x:c r="Z276" s="25"/>
    </x:row>
    <x:row r="277">
      <x:c r="A277" s="25"/>
      <x:c r="B277" s="25"/>
      <x:c r="C277" s="25"/>
      <x:c r="D277" s="25"/>
      <x:c r="E277" s="25"/>
      <x:c r="F277" s="25"/>
      <x:c r="G277" s="25"/>
      <x:c r="H277" s="25"/>
      <x:c r="I277" s="25"/>
      <x:c r="J277" s="25"/>
      <x:c r="K277" s="25"/>
      <x:c r="L277" s="25"/>
      <x:c r="M277" s="25"/>
      <x:c r="N277" s="25"/>
      <x:c r="O277" s="25"/>
      <x:c r="P277" s="25"/>
      <x:c r="Q277" s="25"/>
      <x:c r="R277" s="25"/>
      <x:c r="S277" s="25"/>
      <x:c r="T277" s="25"/>
      <x:c r="U277" s="25"/>
      <x:c r="V277" s="25"/>
      <x:c r="W277" s="25"/>
      <x:c r="X277" s="25"/>
      <x:c r="Y277" s="25"/>
      <x:c r="Z277" s="25"/>
    </x:row>
    <x:row r="278">
      <x:c r="A278" s="25"/>
      <x:c r="B278" s="25"/>
      <x:c r="C278" s="25"/>
      <x:c r="D278" s="25"/>
      <x:c r="E278" s="25"/>
      <x:c r="F278" s="25"/>
      <x:c r="G278" s="25"/>
      <x:c r="H278" s="25"/>
      <x:c r="I278" s="25"/>
      <x:c r="J278" s="25"/>
      <x:c r="K278" s="25"/>
      <x:c r="L278" s="25"/>
      <x:c r="M278" s="25"/>
      <x:c r="N278" s="25"/>
      <x:c r="O278" s="25"/>
      <x:c r="P278" s="25"/>
      <x:c r="Q278" s="25"/>
      <x:c r="R278" s="25"/>
      <x:c r="S278" s="25"/>
      <x:c r="T278" s="25"/>
      <x:c r="U278" s="25"/>
      <x:c r="V278" s="25"/>
      <x:c r="W278" s="25"/>
      <x:c r="X278" s="25"/>
      <x:c r="Y278" s="25"/>
      <x:c r="Z278" s="25"/>
    </x:row>
    <x:row r="279">
      <x:c r="A279" s="25"/>
      <x:c r="B279" s="25"/>
      <x:c r="C279" s="25"/>
      <x:c r="D279" s="25"/>
      <x:c r="E279" s="25"/>
      <x:c r="F279" s="25"/>
      <x:c r="G279" s="25"/>
      <x:c r="H279" s="25"/>
      <x:c r="I279" s="25"/>
      <x:c r="J279" s="25"/>
      <x:c r="K279" s="25"/>
      <x:c r="L279" s="25"/>
      <x:c r="M279" s="25"/>
      <x:c r="N279" s="25"/>
      <x:c r="O279" s="25"/>
      <x:c r="P279" s="25"/>
      <x:c r="Q279" s="25"/>
      <x:c r="R279" s="25"/>
      <x:c r="S279" s="25"/>
      <x:c r="T279" s="25"/>
      <x:c r="U279" s="25"/>
      <x:c r="V279" s="25"/>
      <x:c r="W279" s="25"/>
      <x:c r="X279" s="25"/>
      <x:c r="Y279" s="25"/>
      <x:c r="Z279" s="25"/>
    </x:row>
    <x:row r="280">
      <x:c r="A280" s="25"/>
      <x:c r="B280" s="25"/>
      <x:c r="C280" s="25"/>
      <x:c r="D280" s="25"/>
      <x:c r="E280" s="25"/>
      <x:c r="F280" s="25"/>
      <x:c r="G280" s="25"/>
      <x:c r="H280" s="25"/>
      <x:c r="I280" s="25"/>
      <x:c r="J280" s="25"/>
      <x:c r="K280" s="25"/>
      <x:c r="L280" s="25"/>
      <x:c r="M280" s="25"/>
      <x:c r="N280" s="25"/>
      <x:c r="O280" s="25"/>
      <x:c r="P280" s="25"/>
      <x:c r="Q280" s="25"/>
      <x:c r="R280" s="25"/>
      <x:c r="S280" s="25"/>
      <x:c r="T280" s="25"/>
      <x:c r="U280" s="25"/>
      <x:c r="V280" s="25"/>
      <x:c r="W280" s="25"/>
      <x:c r="X280" s="25"/>
      <x:c r="Y280" s="25"/>
      <x:c r="Z280" s="25"/>
    </x:row>
    <x:row r="281">
      <x:c r="A281" s="25"/>
      <x:c r="B281" s="25"/>
      <x:c r="C281" s="25"/>
      <x:c r="D281" s="25"/>
      <x:c r="E281" s="25"/>
      <x:c r="F281" s="25"/>
      <x:c r="G281" s="25"/>
      <x:c r="H281" s="25"/>
      <x:c r="I281" s="25"/>
      <x:c r="J281" s="25"/>
      <x:c r="K281" s="25"/>
      <x:c r="L281" s="25"/>
      <x:c r="M281" s="25"/>
      <x:c r="N281" s="25"/>
      <x:c r="O281" s="25"/>
      <x:c r="P281" s="25"/>
      <x:c r="Q281" s="25"/>
      <x:c r="R281" s="25"/>
      <x:c r="S281" s="25"/>
      <x:c r="T281" s="25"/>
      <x:c r="U281" s="25"/>
      <x:c r="V281" s="25"/>
      <x:c r="W281" s="25"/>
      <x:c r="X281" s="25"/>
      <x:c r="Y281" s="25"/>
      <x:c r="Z281" s="25"/>
    </x:row>
    <x:row r="282">
      <x:c r="A282" s="25"/>
      <x:c r="B282" s="25"/>
      <x:c r="C282" s="25"/>
      <x:c r="D282" s="25"/>
      <x:c r="E282" s="25"/>
      <x:c r="F282" s="25"/>
      <x:c r="G282" s="25"/>
      <x:c r="H282" s="25"/>
      <x:c r="I282" s="25"/>
      <x:c r="J282" s="25"/>
      <x:c r="K282" s="25"/>
      <x:c r="L282" s="25"/>
      <x:c r="M282" s="25"/>
      <x:c r="N282" s="25"/>
      <x:c r="O282" s="25"/>
      <x:c r="P282" s="25"/>
      <x:c r="Q282" s="25"/>
      <x:c r="R282" s="25"/>
      <x:c r="S282" s="25"/>
      <x:c r="T282" s="25"/>
      <x:c r="U282" s="25"/>
      <x:c r="V282" s="25"/>
      <x:c r="W282" s="25"/>
      <x:c r="X282" s="25"/>
      <x:c r="Y282" s="25"/>
      <x:c r="Z282" s="25"/>
    </x:row>
    <x:row r="283">
      <x:c r="A283" s="25"/>
      <x:c r="B283" s="25"/>
      <x:c r="C283" s="25"/>
      <x:c r="D283" s="25"/>
      <x:c r="E283" s="25"/>
      <x:c r="F283" s="25"/>
      <x:c r="G283" s="25"/>
      <x:c r="H283" s="25"/>
      <x:c r="I283" s="25"/>
      <x:c r="J283" s="25"/>
      <x:c r="K283" s="25"/>
      <x:c r="L283" s="25"/>
      <x:c r="M283" s="25"/>
      <x:c r="N283" s="25"/>
      <x:c r="O283" s="25"/>
      <x:c r="P283" s="25"/>
      <x:c r="Q283" s="25"/>
      <x:c r="R283" s="25"/>
      <x:c r="S283" s="25"/>
      <x:c r="T283" s="25"/>
      <x:c r="U283" s="25"/>
      <x:c r="V283" s="25"/>
      <x:c r="W283" s="25"/>
      <x:c r="X283" s="25"/>
      <x:c r="Y283" s="25"/>
      <x:c r="Z283" s="25"/>
    </x:row>
    <x:row r="284">
      <x:c r="A284" s="25"/>
      <x:c r="B284" s="25"/>
      <x:c r="C284" s="25"/>
      <x:c r="D284" s="25"/>
      <x:c r="E284" s="25"/>
      <x:c r="F284" s="25"/>
      <x:c r="G284" s="25"/>
      <x:c r="H284" s="25"/>
      <x:c r="I284" s="25"/>
      <x:c r="J284" s="25"/>
      <x:c r="K284" s="25"/>
      <x:c r="L284" s="25"/>
      <x:c r="M284" s="25"/>
      <x:c r="N284" s="25"/>
      <x:c r="O284" s="25"/>
      <x:c r="P284" s="25"/>
      <x:c r="Q284" s="25"/>
      <x:c r="R284" s="25"/>
      <x:c r="S284" s="25"/>
      <x:c r="T284" s="25"/>
      <x:c r="U284" s="25"/>
      <x:c r="V284" s="25"/>
      <x:c r="W284" s="25"/>
      <x:c r="X284" s="25"/>
      <x:c r="Y284" s="25"/>
      <x:c r="Z284" s="25"/>
    </x:row>
    <x:row r="285">
      <x:c r="A285" s="25"/>
      <x:c r="B285" s="25"/>
      <x:c r="C285" s="25"/>
      <x:c r="D285" s="25"/>
      <x:c r="E285" s="25"/>
      <x:c r="F285" s="25"/>
      <x:c r="G285" s="25"/>
      <x:c r="H285" s="25"/>
      <x:c r="I285" s="25"/>
      <x:c r="J285" s="25"/>
      <x:c r="K285" s="25"/>
      <x:c r="L285" s="25"/>
      <x:c r="M285" s="25"/>
      <x:c r="N285" s="25"/>
      <x:c r="O285" s="25"/>
      <x:c r="P285" s="25"/>
      <x:c r="Q285" s="25"/>
      <x:c r="R285" s="25"/>
      <x:c r="S285" s="25"/>
      <x:c r="T285" s="25"/>
      <x:c r="U285" s="25"/>
      <x:c r="V285" s="25"/>
      <x:c r="W285" s="25"/>
      <x:c r="X285" s="25"/>
      <x:c r="Y285" s="25"/>
      <x:c r="Z285" s="25"/>
    </x:row>
    <x:row r="286">
      <x:c r="A286" s="25"/>
      <x:c r="B286" s="25"/>
      <x:c r="C286" s="25"/>
      <x:c r="D286" s="25"/>
      <x:c r="E286" s="25"/>
      <x:c r="F286" s="25"/>
      <x:c r="G286" s="25"/>
      <x:c r="H286" s="25"/>
      <x:c r="I286" s="25"/>
      <x:c r="J286" s="25"/>
      <x:c r="K286" s="25"/>
      <x:c r="L286" s="25"/>
      <x:c r="M286" s="25"/>
      <x:c r="N286" s="25"/>
      <x:c r="O286" s="25"/>
      <x:c r="P286" s="25"/>
      <x:c r="Q286" s="25"/>
      <x:c r="R286" s="25"/>
      <x:c r="S286" s="25"/>
      <x:c r="T286" s="25"/>
      <x:c r="U286" s="25"/>
      <x:c r="V286" s="25"/>
      <x:c r="W286" s="25"/>
      <x:c r="X286" s="25"/>
      <x:c r="Y286" s="25"/>
      <x:c r="Z286" s="25"/>
    </x:row>
    <x:row r="287">
      <x:c r="A287" s="25"/>
      <x:c r="B287" s="25"/>
      <x:c r="C287" s="25"/>
      <x:c r="D287" s="25"/>
      <x:c r="E287" s="25"/>
      <x:c r="F287" s="25"/>
      <x:c r="G287" s="25"/>
      <x:c r="H287" s="25"/>
      <x:c r="I287" s="25"/>
      <x:c r="J287" s="25"/>
      <x:c r="K287" s="25"/>
      <x:c r="L287" s="25"/>
      <x:c r="M287" s="25"/>
      <x:c r="N287" s="25"/>
      <x:c r="O287" s="25"/>
      <x:c r="P287" s="25"/>
      <x:c r="Q287" s="25"/>
      <x:c r="R287" s="25"/>
      <x:c r="S287" s="25"/>
      <x:c r="T287" s="25"/>
      <x:c r="U287" s="25"/>
      <x:c r="V287" s="25"/>
      <x:c r="W287" s="25"/>
      <x:c r="X287" s="25"/>
      <x:c r="Y287" s="25"/>
      <x:c r="Z287" s="25"/>
    </x:row>
    <x:row r="288">
      <x:c r="A288" s="25"/>
      <x:c r="B288" s="25"/>
      <x:c r="C288" s="25"/>
      <x:c r="D288" s="25"/>
      <x:c r="E288" s="25"/>
      <x:c r="F288" s="25"/>
      <x:c r="G288" s="25"/>
      <x:c r="H288" s="25"/>
      <x:c r="I288" s="25"/>
      <x:c r="J288" s="25"/>
      <x:c r="K288" s="25"/>
      <x:c r="L288" s="25"/>
      <x:c r="M288" s="25"/>
      <x:c r="N288" s="25"/>
      <x:c r="O288" s="25"/>
      <x:c r="P288" s="25"/>
      <x:c r="Q288" s="25"/>
      <x:c r="R288" s="25"/>
      <x:c r="S288" s="25"/>
      <x:c r="T288" s="25"/>
      <x:c r="U288" s="25"/>
      <x:c r="V288" s="25"/>
      <x:c r="W288" s="25"/>
      <x:c r="X288" s="25"/>
      <x:c r="Y288" s="25"/>
      <x:c r="Z288" s="25"/>
    </x:row>
    <x:row r="289">
      <x:c r="A289" s="25"/>
      <x:c r="B289" s="25"/>
      <x:c r="C289" s="25"/>
      <x:c r="D289" s="25"/>
      <x:c r="E289" s="25"/>
      <x:c r="F289" s="25"/>
      <x:c r="G289" s="25"/>
      <x:c r="H289" s="25"/>
      <x:c r="I289" s="25"/>
      <x:c r="J289" s="25"/>
      <x:c r="K289" s="25"/>
      <x:c r="L289" s="25"/>
      <x:c r="M289" s="25"/>
      <x:c r="N289" s="25"/>
      <x:c r="O289" s="25"/>
      <x:c r="P289" s="25"/>
      <x:c r="Q289" s="25"/>
      <x:c r="R289" s="25"/>
      <x:c r="S289" s="25"/>
      <x:c r="T289" s="25"/>
      <x:c r="U289" s="25"/>
      <x:c r="V289" s="25"/>
      <x:c r="W289" s="25"/>
      <x:c r="X289" s="25"/>
      <x:c r="Y289" s="25"/>
      <x:c r="Z289" s="25"/>
    </x:row>
    <x:row r="290">
      <x:c r="A290" s="25"/>
      <x:c r="B290" s="25"/>
      <x:c r="C290" s="25"/>
      <x:c r="D290" s="25"/>
      <x:c r="E290" s="25"/>
      <x:c r="F290" s="25"/>
      <x:c r="G290" s="25"/>
      <x:c r="H290" s="25"/>
      <x:c r="I290" s="25"/>
      <x:c r="J290" s="25"/>
      <x:c r="K290" s="25"/>
      <x:c r="L290" s="25"/>
      <x:c r="M290" s="25"/>
      <x:c r="N290" s="25"/>
      <x:c r="O290" s="25"/>
      <x:c r="P290" s="25"/>
      <x:c r="Q290" s="25"/>
      <x:c r="R290" s="25"/>
      <x:c r="S290" s="25"/>
      <x:c r="T290" s="25"/>
      <x:c r="U290" s="25"/>
      <x:c r="V290" s="25"/>
      <x:c r="W290" s="25"/>
      <x:c r="X290" s="25"/>
      <x:c r="Y290" s="25"/>
      <x:c r="Z290" s="25"/>
    </x:row>
    <x:row r="291">
      <x:c r="A291" s="25"/>
      <x:c r="B291" s="25"/>
      <x:c r="C291" s="25"/>
      <x:c r="D291" s="25"/>
      <x:c r="E291" s="25"/>
      <x:c r="F291" s="25"/>
      <x:c r="G291" s="25"/>
      <x:c r="H291" s="25"/>
      <x:c r="I291" s="25"/>
      <x:c r="J291" s="25"/>
      <x:c r="K291" s="25"/>
      <x:c r="L291" s="25"/>
      <x:c r="M291" s="25"/>
      <x:c r="N291" s="25"/>
      <x:c r="O291" s="25"/>
      <x:c r="P291" s="25"/>
      <x:c r="Q291" s="25"/>
      <x:c r="R291" s="25"/>
      <x:c r="S291" s="25"/>
      <x:c r="T291" s="25"/>
      <x:c r="U291" s="25"/>
      <x:c r="V291" s="25"/>
      <x:c r="W291" s="25"/>
      <x:c r="X291" s="25"/>
      <x:c r="Y291" s="25"/>
      <x:c r="Z291" s="25"/>
    </x:row>
    <x:row r="292">
      <x:c r="A292" s="25"/>
      <x:c r="B292" s="25"/>
      <x:c r="C292" s="25"/>
      <x:c r="D292" s="25"/>
      <x:c r="E292" s="25"/>
      <x:c r="F292" s="25"/>
      <x:c r="G292" s="25"/>
      <x:c r="H292" s="25"/>
      <x:c r="I292" s="25"/>
      <x:c r="J292" s="25"/>
      <x:c r="K292" s="25"/>
      <x:c r="L292" s="25"/>
      <x:c r="M292" s="25"/>
      <x:c r="N292" s="25"/>
      <x:c r="O292" s="25"/>
      <x:c r="P292" s="25"/>
      <x:c r="Q292" s="25"/>
      <x:c r="R292" s="25"/>
      <x:c r="S292" s="25"/>
      <x:c r="T292" s="25"/>
      <x:c r="U292" s="25"/>
      <x:c r="V292" s="25"/>
      <x:c r="W292" s="25"/>
      <x:c r="X292" s="25"/>
      <x:c r="Y292" s="25"/>
      <x:c r="Z292" s="25"/>
    </x:row>
    <x:row r="293">
      <x:c r="A293" s="25"/>
      <x:c r="B293" s="25"/>
      <x:c r="C293" s="25"/>
      <x:c r="D293" s="25"/>
      <x:c r="E293" s="25"/>
      <x:c r="F293" s="25"/>
      <x:c r="G293" s="25"/>
      <x:c r="H293" s="25"/>
      <x:c r="I293" s="25"/>
      <x:c r="J293" s="25"/>
      <x:c r="K293" s="25"/>
      <x:c r="L293" s="25"/>
      <x:c r="M293" s="25"/>
      <x:c r="N293" s="25"/>
      <x:c r="O293" s="25"/>
      <x:c r="P293" s="25"/>
      <x:c r="Q293" s="25"/>
      <x:c r="R293" s="25"/>
      <x:c r="S293" s="25"/>
      <x:c r="T293" s="25"/>
      <x:c r="U293" s="25"/>
      <x:c r="V293" s="25"/>
      <x:c r="W293" s="25"/>
      <x:c r="X293" s="25"/>
      <x:c r="Y293" s="25"/>
      <x:c r="Z293" s="25"/>
    </x:row>
    <x:row r="294">
      <x:c r="A294" s="25"/>
      <x:c r="B294" s="25"/>
      <x:c r="C294" s="25"/>
      <x:c r="D294" s="25"/>
      <x:c r="E294" s="25"/>
      <x:c r="F294" s="25"/>
      <x:c r="G294" s="25"/>
      <x:c r="H294" s="25"/>
      <x:c r="I294" s="25"/>
      <x:c r="J294" s="25"/>
      <x:c r="K294" s="25"/>
      <x:c r="L294" s="25"/>
      <x:c r="M294" s="25"/>
      <x:c r="N294" s="25"/>
      <x:c r="O294" s="25"/>
      <x:c r="P294" s="25"/>
      <x:c r="Q294" s="25"/>
      <x:c r="R294" s="25"/>
      <x:c r="S294" s="25"/>
      <x:c r="T294" s="25"/>
      <x:c r="U294" s="25"/>
      <x:c r="V294" s="25"/>
      <x:c r="W294" s="25"/>
      <x:c r="X294" s="25"/>
      <x:c r="Y294" s="25"/>
      <x:c r="Z294" s="25"/>
    </x:row>
    <x:row r="295">
      <x:c r="A295" s="25"/>
      <x:c r="B295" s="25"/>
      <x:c r="C295" s="25"/>
      <x:c r="D295" s="25"/>
      <x:c r="E295" s="25"/>
      <x:c r="F295" s="25"/>
      <x:c r="G295" s="25"/>
      <x:c r="H295" s="25"/>
      <x:c r="I295" s="25"/>
      <x:c r="J295" s="25"/>
      <x:c r="K295" s="25"/>
      <x:c r="L295" s="25"/>
      <x:c r="M295" s="25"/>
      <x:c r="N295" s="25"/>
      <x:c r="O295" s="25"/>
      <x:c r="P295" s="25"/>
      <x:c r="Q295" s="25"/>
      <x:c r="R295" s="25"/>
      <x:c r="S295" s="25"/>
      <x:c r="T295" s="25"/>
      <x:c r="U295" s="25"/>
      <x:c r="V295" s="25"/>
      <x:c r="W295" s="25"/>
      <x:c r="X295" s="25"/>
      <x:c r="Y295" s="25"/>
      <x:c r="Z295" s="25"/>
    </x:row>
    <x:row r="296">
      <x:c r="A296" s="25"/>
      <x:c r="B296" s="25"/>
      <x:c r="C296" s="25"/>
      <x:c r="D296" s="25"/>
      <x:c r="E296" s="25"/>
      <x:c r="F296" s="25"/>
      <x:c r="G296" s="25"/>
      <x:c r="H296" s="25"/>
      <x:c r="I296" s="25"/>
      <x:c r="J296" s="25"/>
      <x:c r="K296" s="25"/>
      <x:c r="L296" s="25"/>
      <x:c r="M296" s="25"/>
      <x:c r="N296" s="25"/>
      <x:c r="O296" s="25"/>
      <x:c r="P296" s="25"/>
      <x:c r="Q296" s="25"/>
      <x:c r="R296" s="25"/>
      <x:c r="S296" s="25"/>
      <x:c r="T296" s="25"/>
      <x:c r="U296" s="25"/>
      <x:c r="V296" s="25"/>
      <x:c r="W296" s="25"/>
      <x:c r="X296" s="25"/>
      <x:c r="Y296" s="25"/>
      <x:c r="Z296" s="25"/>
    </x:row>
    <x:row r="297">
      <x:c r="A297" s="25"/>
      <x:c r="B297" s="25"/>
      <x:c r="C297" s="25"/>
      <x:c r="D297" s="25"/>
      <x:c r="E297" s="25"/>
      <x:c r="F297" s="25"/>
      <x:c r="G297" s="25"/>
      <x:c r="H297" s="25"/>
      <x:c r="I297" s="25"/>
      <x:c r="J297" s="25"/>
      <x:c r="K297" s="25"/>
      <x:c r="L297" s="25"/>
      <x:c r="M297" s="25"/>
      <x:c r="N297" s="25"/>
      <x:c r="O297" s="25"/>
      <x:c r="P297" s="25"/>
      <x:c r="Q297" s="25"/>
      <x:c r="R297" s="25"/>
      <x:c r="S297" s="25"/>
      <x:c r="T297" s="25"/>
      <x:c r="U297" s="25"/>
      <x:c r="V297" s="25"/>
      <x:c r="W297" s="25"/>
      <x:c r="X297" s="25"/>
      <x:c r="Y297" s="25"/>
      <x:c r="Z297" s="25"/>
    </x:row>
    <x:row r="298">
      <x:c r="A298" s="25"/>
      <x:c r="B298" s="25"/>
      <x:c r="C298" s="25"/>
      <x:c r="D298" s="25"/>
      <x:c r="E298" s="25"/>
      <x:c r="F298" s="25"/>
      <x:c r="G298" s="25"/>
      <x:c r="H298" s="25"/>
      <x:c r="I298" s="25"/>
      <x:c r="J298" s="25"/>
      <x:c r="K298" s="25"/>
      <x:c r="L298" s="25"/>
      <x:c r="M298" s="25"/>
      <x:c r="N298" s="25"/>
      <x:c r="O298" s="25"/>
      <x:c r="P298" s="25"/>
      <x:c r="Q298" s="25"/>
      <x:c r="R298" s="25"/>
      <x:c r="S298" s="25"/>
      <x:c r="T298" s="25"/>
      <x:c r="U298" s="25"/>
      <x:c r="V298" s="25"/>
      <x:c r="W298" s="25"/>
      <x:c r="X298" s="25"/>
      <x:c r="Y298" s="25"/>
      <x:c r="Z298" s="25"/>
    </x:row>
    <x:row r="299">
      <x:c r="A299" s="25"/>
      <x:c r="B299" s="25"/>
      <x:c r="C299" s="25"/>
      <x:c r="D299" s="25"/>
      <x:c r="E299" s="25"/>
      <x:c r="F299" s="25"/>
      <x:c r="G299" s="25"/>
      <x:c r="H299" s="25"/>
      <x:c r="I299" s="25"/>
      <x:c r="J299" s="25"/>
      <x:c r="K299" s="25"/>
      <x:c r="L299" s="25"/>
      <x:c r="M299" s="25"/>
      <x:c r="N299" s="25"/>
      <x:c r="O299" s="25"/>
      <x:c r="P299" s="25"/>
      <x:c r="Q299" s="25"/>
      <x:c r="R299" s="25"/>
      <x:c r="S299" s="25"/>
      <x:c r="T299" s="25"/>
      <x:c r="U299" s="25"/>
      <x:c r="V299" s="25"/>
      <x:c r="W299" s="25"/>
      <x:c r="X299" s="25"/>
      <x:c r="Y299" s="25"/>
      <x:c r="Z299" s="25"/>
    </x:row>
    <x:row r="300">
      <x:c r="A300" s="25"/>
      <x:c r="B300" s="25"/>
      <x:c r="C300" s="25"/>
      <x:c r="D300" s="25"/>
      <x:c r="E300" s="25"/>
      <x:c r="F300" s="25"/>
      <x:c r="G300" s="25"/>
      <x:c r="H300" s="25"/>
      <x:c r="I300" s="25"/>
      <x:c r="J300" s="25"/>
      <x:c r="K300" s="25"/>
      <x:c r="L300" s="25"/>
      <x:c r="M300" s="25"/>
      <x:c r="N300" s="25"/>
      <x:c r="O300" s="25"/>
      <x:c r="P300" s="25"/>
      <x:c r="Q300" s="25"/>
      <x:c r="R300" s="25"/>
      <x:c r="S300" s="25"/>
      <x:c r="T300" s="25"/>
      <x:c r="U300" s="25"/>
      <x:c r="V300" s="25"/>
      <x:c r="W300" s="25"/>
      <x:c r="X300" s="25"/>
      <x:c r="Y300" s="25"/>
      <x:c r="Z300" s="25"/>
    </x:row>
    <x:row r="301">
      <x:c r="A301" s="25"/>
      <x:c r="B301" s="25"/>
      <x:c r="C301" s="25"/>
      <x:c r="D301" s="25"/>
      <x:c r="E301" s="25"/>
      <x:c r="F301" s="25"/>
      <x:c r="G301" s="25"/>
      <x:c r="H301" s="25"/>
      <x:c r="I301" s="25"/>
      <x:c r="J301" s="25"/>
      <x:c r="K301" s="25"/>
      <x:c r="L301" s="25"/>
      <x:c r="M301" s="25"/>
      <x:c r="N301" s="25"/>
      <x:c r="O301" s="25"/>
      <x:c r="P301" s="25"/>
      <x:c r="Q301" s="25"/>
      <x:c r="R301" s="25"/>
      <x:c r="S301" s="25"/>
      <x:c r="T301" s="25"/>
      <x:c r="U301" s="25"/>
      <x:c r="V301" s="25"/>
      <x:c r="W301" s="25"/>
      <x:c r="X301" s="25"/>
      <x:c r="Y301" s="25"/>
      <x:c r="Z301" s="25"/>
    </x:row>
    <x:row r="302">
      <x:c r="A302" s="25"/>
      <x:c r="B302" s="25"/>
      <x:c r="C302" s="25"/>
      <x:c r="D302" s="25"/>
      <x:c r="E302" s="25"/>
      <x:c r="F302" s="25"/>
      <x:c r="G302" s="25"/>
      <x:c r="H302" s="25"/>
      <x:c r="I302" s="25"/>
      <x:c r="J302" s="25"/>
      <x:c r="K302" s="25"/>
      <x:c r="L302" s="25"/>
      <x:c r="M302" s="25"/>
      <x:c r="N302" s="25"/>
      <x:c r="O302" s="25"/>
      <x:c r="P302" s="25"/>
      <x:c r="Q302" s="25"/>
      <x:c r="R302" s="25"/>
      <x:c r="S302" s="25"/>
      <x:c r="T302" s="25"/>
      <x:c r="U302" s="25"/>
      <x:c r="V302" s="25"/>
      <x:c r="W302" s="25"/>
      <x:c r="X302" s="25"/>
      <x:c r="Y302" s="25"/>
      <x:c r="Z302" s="25"/>
    </x:row>
    <x:row r="303">
      <x:c r="A303" s="25"/>
      <x:c r="B303" s="25"/>
      <x:c r="C303" s="25"/>
      <x:c r="D303" s="25"/>
      <x:c r="E303" s="25"/>
      <x:c r="F303" s="25"/>
      <x:c r="G303" s="25"/>
      <x:c r="H303" s="25"/>
      <x:c r="I303" s="25"/>
      <x:c r="J303" s="25"/>
      <x:c r="K303" s="25"/>
      <x:c r="L303" s="25"/>
      <x:c r="M303" s="25"/>
      <x:c r="N303" s="25"/>
      <x:c r="O303" s="25"/>
      <x:c r="P303" s="25"/>
      <x:c r="Q303" s="25"/>
      <x:c r="R303" s="25"/>
      <x:c r="S303" s="25"/>
      <x:c r="T303" s="25"/>
      <x:c r="U303" s="25"/>
      <x:c r="V303" s="25"/>
      <x:c r="W303" s="25"/>
      <x:c r="X303" s="25"/>
      <x:c r="Y303" s="25"/>
      <x:c r="Z303" s="25"/>
    </x:row>
    <x:row r="304">
      <x:c r="A304" s="25"/>
      <x:c r="B304" s="25"/>
      <x:c r="C304" s="25"/>
      <x:c r="D304" s="25"/>
      <x:c r="E304" s="25"/>
      <x:c r="F304" s="25"/>
      <x:c r="G304" s="25"/>
      <x:c r="H304" s="25"/>
      <x:c r="I304" s="25"/>
      <x:c r="J304" s="25"/>
      <x:c r="K304" s="25"/>
      <x:c r="L304" s="25"/>
      <x:c r="M304" s="25"/>
      <x:c r="N304" s="25"/>
      <x:c r="O304" s="25"/>
      <x:c r="P304" s="25"/>
      <x:c r="Q304" s="25"/>
      <x:c r="R304" s="25"/>
      <x:c r="S304" s="25"/>
      <x:c r="T304" s="25"/>
      <x:c r="U304" s="25"/>
      <x:c r="V304" s="25"/>
      <x:c r="W304" s="25"/>
      <x:c r="X304" s="25"/>
      <x:c r="Y304" s="25"/>
      <x:c r="Z304" s="25"/>
    </x:row>
    <x:row r="305">
      <x:c r="A305" s="25"/>
      <x:c r="B305" s="25"/>
      <x:c r="C305" s="25"/>
      <x:c r="D305" s="25"/>
      <x:c r="E305" s="25"/>
      <x:c r="F305" s="25"/>
      <x:c r="G305" s="25"/>
      <x:c r="H305" s="25"/>
      <x:c r="I305" s="25"/>
      <x:c r="J305" s="25"/>
      <x:c r="K305" s="25"/>
      <x:c r="L305" s="25"/>
      <x:c r="M305" s="25"/>
      <x:c r="N305" s="25"/>
      <x:c r="O305" s="25"/>
      <x:c r="P305" s="25"/>
      <x:c r="Q305" s="25"/>
      <x:c r="R305" s="25"/>
      <x:c r="S305" s="25"/>
      <x:c r="T305" s="25"/>
      <x:c r="U305" s="25"/>
      <x:c r="V305" s="25"/>
      <x:c r="W305" s="25"/>
      <x:c r="X305" s="25"/>
      <x:c r="Y305" s="25"/>
      <x:c r="Z305" s="25"/>
    </x:row>
    <x:row r="306">
      <x:c r="A306" s="25"/>
      <x:c r="B306" s="25"/>
      <x:c r="C306" s="25"/>
      <x:c r="D306" s="25"/>
      <x:c r="E306" s="25"/>
      <x:c r="F306" s="25"/>
      <x:c r="G306" s="25"/>
      <x:c r="H306" s="25"/>
      <x:c r="I306" s="25"/>
      <x:c r="J306" s="25"/>
      <x:c r="K306" s="25"/>
      <x:c r="L306" s="25"/>
      <x:c r="M306" s="25"/>
      <x:c r="N306" s="25"/>
      <x:c r="O306" s="25"/>
      <x:c r="P306" s="25"/>
      <x:c r="Q306" s="25"/>
      <x:c r="R306" s="25"/>
      <x:c r="S306" s="25"/>
      <x:c r="T306" s="25"/>
      <x:c r="U306" s="25"/>
      <x:c r="V306" s="25"/>
      <x:c r="W306" s="25"/>
      <x:c r="X306" s="25"/>
      <x:c r="Y306" s="25"/>
      <x:c r="Z306" s="25"/>
    </x:row>
    <x:row r="307">
      <x:c r="A307" s="25"/>
      <x:c r="B307" s="25"/>
      <x:c r="C307" s="25"/>
      <x:c r="D307" s="25"/>
      <x:c r="E307" s="25"/>
      <x:c r="F307" s="25"/>
      <x:c r="G307" s="25"/>
      <x:c r="H307" s="25"/>
      <x:c r="I307" s="25"/>
      <x:c r="J307" s="25"/>
      <x:c r="K307" s="25"/>
      <x:c r="L307" s="25"/>
      <x:c r="M307" s="25"/>
      <x:c r="N307" s="25"/>
      <x:c r="O307" s="25"/>
      <x:c r="P307" s="25"/>
      <x:c r="Q307" s="25"/>
      <x:c r="R307" s="25"/>
      <x:c r="S307" s="25"/>
      <x:c r="T307" s="25"/>
      <x:c r="U307" s="25"/>
      <x:c r="V307" s="25"/>
      <x:c r="W307" s="25"/>
      <x:c r="X307" s="25"/>
      <x:c r="Y307" s="25"/>
      <x:c r="Z307" s="25"/>
    </x:row>
    <x:row r="308">
      <x:c r="A308" s="25"/>
      <x:c r="B308" s="25"/>
      <x:c r="C308" s="25"/>
      <x:c r="D308" s="25"/>
      <x:c r="E308" s="25"/>
      <x:c r="F308" s="25"/>
      <x:c r="G308" s="25"/>
      <x:c r="H308" s="25"/>
      <x:c r="I308" s="25"/>
      <x:c r="J308" s="25"/>
      <x:c r="K308" s="25"/>
      <x:c r="L308" s="25"/>
      <x:c r="M308" s="25"/>
      <x:c r="N308" s="25"/>
      <x:c r="O308" s="25"/>
      <x:c r="P308" s="25"/>
      <x:c r="Q308" s="25"/>
      <x:c r="R308" s="25"/>
      <x:c r="S308" s="25"/>
      <x:c r="T308" s="25"/>
      <x:c r="U308" s="25"/>
      <x:c r="V308" s="25"/>
      <x:c r="W308" s="25"/>
      <x:c r="X308" s="25"/>
      <x:c r="Y308" s="25"/>
      <x:c r="Z308" s="25"/>
    </x:row>
    <x:row r="309">
      <x:c r="A309" s="25"/>
      <x:c r="B309" s="25"/>
      <x:c r="C309" s="25"/>
      <x:c r="D309" s="25"/>
      <x:c r="E309" s="25"/>
      <x:c r="F309" s="25"/>
      <x:c r="G309" s="25"/>
      <x:c r="H309" s="25"/>
      <x:c r="I309" s="25"/>
      <x:c r="J309" s="25"/>
      <x:c r="K309" s="25"/>
      <x:c r="L309" s="25"/>
      <x:c r="M309" s="25"/>
      <x:c r="N309" s="25"/>
      <x:c r="O309" s="25"/>
      <x:c r="P309" s="25"/>
      <x:c r="Q309" s="25"/>
      <x:c r="R309" s="25"/>
      <x:c r="S309" s="25"/>
      <x:c r="T309" s="25"/>
      <x:c r="U309" s="25"/>
      <x:c r="V309" s="25"/>
      <x:c r="W309" s="25"/>
      <x:c r="X309" s="25"/>
      <x:c r="Y309" s="25"/>
      <x:c r="Z309" s="25"/>
    </x:row>
    <x:row r="310">
      <x:c r="A310" s="25"/>
      <x:c r="B310" s="25"/>
      <x:c r="C310" s="25"/>
      <x:c r="D310" s="25"/>
      <x:c r="E310" s="25"/>
      <x:c r="F310" s="25"/>
      <x:c r="G310" s="25"/>
      <x:c r="H310" s="25"/>
      <x:c r="I310" s="25"/>
      <x:c r="J310" s="25"/>
      <x:c r="K310" s="25"/>
      <x:c r="L310" s="25"/>
      <x:c r="M310" s="25"/>
      <x:c r="N310" s="25"/>
      <x:c r="O310" s="25"/>
      <x:c r="P310" s="25"/>
      <x:c r="Q310" s="25"/>
      <x:c r="R310" s="25"/>
      <x:c r="S310" s="25"/>
      <x:c r="T310" s="25"/>
      <x:c r="U310" s="25"/>
      <x:c r="V310" s="25"/>
      <x:c r="W310" s="25"/>
      <x:c r="X310" s="25"/>
      <x:c r="Y310" s="25"/>
      <x:c r="Z310" s="25"/>
    </x:row>
    <x:row r="311">
      <x:c r="A311" s="25"/>
      <x:c r="B311" s="25"/>
      <x:c r="C311" s="25"/>
      <x:c r="D311" s="25"/>
      <x:c r="E311" s="25"/>
      <x:c r="F311" s="25"/>
      <x:c r="G311" s="25"/>
      <x:c r="H311" s="25"/>
      <x:c r="I311" s="25"/>
      <x:c r="J311" s="25"/>
      <x:c r="K311" s="25"/>
      <x:c r="L311" s="25"/>
      <x:c r="M311" s="25"/>
      <x:c r="N311" s="25"/>
      <x:c r="O311" s="25"/>
      <x:c r="P311" s="25"/>
      <x:c r="Q311" s="25"/>
      <x:c r="R311" s="25"/>
      <x:c r="S311" s="25"/>
      <x:c r="T311" s="25"/>
      <x:c r="U311" s="25"/>
      <x:c r="V311" s="25"/>
      <x:c r="W311" s="25"/>
      <x:c r="X311" s="25"/>
      <x:c r="Y311" s="25"/>
      <x:c r="Z311" s="25"/>
    </x:row>
    <x:row r="312">
      <x:c r="A312" s="25"/>
      <x:c r="B312" s="25"/>
      <x:c r="C312" s="25"/>
      <x:c r="D312" s="25"/>
      <x:c r="E312" s="25"/>
      <x:c r="F312" s="25"/>
      <x:c r="G312" s="25"/>
      <x:c r="H312" s="25"/>
      <x:c r="I312" s="25"/>
      <x:c r="J312" s="25"/>
      <x:c r="K312" s="25"/>
      <x:c r="L312" s="25"/>
      <x:c r="M312" s="25"/>
      <x:c r="N312" s="25"/>
      <x:c r="O312" s="25"/>
      <x:c r="P312" s="25"/>
      <x:c r="Q312" s="25"/>
      <x:c r="R312" s="25"/>
      <x:c r="S312" s="25"/>
      <x:c r="T312" s="25"/>
      <x:c r="U312" s="25"/>
      <x:c r="V312" s="25"/>
      <x:c r="W312" s="25"/>
      <x:c r="X312" s="25"/>
      <x:c r="Y312" s="25"/>
      <x:c r="Z312" s="25"/>
    </x:row>
    <x:row r="313">
      <x:c r="A313" s="25"/>
      <x:c r="B313" s="25"/>
      <x:c r="C313" s="25"/>
      <x:c r="D313" s="25"/>
      <x:c r="E313" s="25"/>
      <x:c r="F313" s="25"/>
      <x:c r="G313" s="25"/>
      <x:c r="H313" s="25"/>
      <x:c r="I313" s="25"/>
      <x:c r="J313" s="25"/>
      <x:c r="K313" s="25"/>
      <x:c r="L313" s="25"/>
      <x:c r="M313" s="25"/>
      <x:c r="N313" s="25"/>
      <x:c r="O313" s="25"/>
      <x:c r="P313" s="25"/>
      <x:c r="Q313" s="25"/>
      <x:c r="R313" s="25"/>
      <x:c r="S313" s="25"/>
      <x:c r="T313" s="25"/>
      <x:c r="U313" s="25"/>
      <x:c r="V313" s="25"/>
      <x:c r="W313" s="25"/>
      <x:c r="X313" s="25"/>
      <x:c r="Y313" s="25"/>
      <x:c r="Z313" s="25"/>
    </x:row>
    <x:row r="314">
      <x:c r="A314" s="25"/>
      <x:c r="B314" s="25"/>
      <x:c r="C314" s="25"/>
      <x:c r="D314" s="25"/>
      <x:c r="E314" s="25"/>
      <x:c r="F314" s="25"/>
      <x:c r="G314" s="25"/>
      <x:c r="H314" s="25"/>
      <x:c r="I314" s="25"/>
      <x:c r="J314" s="25"/>
      <x:c r="K314" s="25"/>
      <x:c r="L314" s="25"/>
      <x:c r="M314" s="25"/>
      <x:c r="N314" s="25"/>
      <x:c r="O314" s="25"/>
      <x:c r="P314" s="25"/>
      <x:c r="Q314" s="25"/>
      <x:c r="R314" s="25"/>
      <x:c r="S314" s="25"/>
      <x:c r="T314" s="25"/>
      <x:c r="U314" s="25"/>
      <x:c r="V314" s="25"/>
      <x:c r="W314" s="25"/>
      <x:c r="X314" s="25"/>
      <x:c r="Y314" s="25"/>
      <x:c r="Z314" s="25"/>
    </x:row>
    <x:row r="315">
      <x:c r="A315" s="25"/>
      <x:c r="B315" s="25"/>
      <x:c r="C315" s="25"/>
      <x:c r="D315" s="25"/>
      <x:c r="E315" s="25"/>
      <x:c r="F315" s="25"/>
      <x:c r="G315" s="25"/>
      <x:c r="H315" s="25"/>
      <x:c r="I315" s="25"/>
      <x:c r="J315" s="25"/>
      <x:c r="K315" s="25"/>
      <x:c r="L315" s="25"/>
      <x:c r="M315" s="25"/>
      <x:c r="N315" s="25"/>
      <x:c r="O315" s="25"/>
      <x:c r="P315" s="25"/>
      <x:c r="Q315" s="25"/>
      <x:c r="R315" s="25"/>
      <x:c r="S315" s="25"/>
      <x:c r="T315" s="25"/>
      <x:c r="U315" s="25"/>
      <x:c r="V315" s="25"/>
      <x:c r="W315" s="25"/>
      <x:c r="X315" s="25"/>
      <x:c r="Y315" s="25"/>
      <x:c r="Z315" s="25"/>
    </x:row>
    <x:row r="316">
      <x:c r="A316" s="25"/>
      <x:c r="B316" s="25"/>
      <x:c r="C316" s="25"/>
      <x:c r="D316" s="25"/>
      <x:c r="E316" s="25"/>
      <x:c r="F316" s="25"/>
      <x:c r="G316" s="25"/>
      <x:c r="H316" s="25"/>
      <x:c r="I316" s="25"/>
      <x:c r="J316" s="25"/>
      <x:c r="K316" s="25"/>
      <x:c r="L316" s="25"/>
      <x:c r="M316" s="25"/>
      <x:c r="N316" s="25"/>
      <x:c r="O316" s="25"/>
      <x:c r="P316" s="25"/>
      <x:c r="Q316" s="25"/>
      <x:c r="R316" s="25"/>
      <x:c r="S316" s="25"/>
      <x:c r="T316" s="25"/>
      <x:c r="U316" s="25"/>
      <x:c r="V316" s="25"/>
      <x:c r="W316" s="25"/>
      <x:c r="X316" s="25"/>
      <x:c r="Y316" s="25"/>
      <x:c r="Z316" s="25"/>
    </x:row>
    <x:row r="317">
      <x:c r="A317" s="25"/>
      <x:c r="B317" s="25"/>
      <x:c r="C317" s="25"/>
      <x:c r="D317" s="25"/>
      <x:c r="E317" s="25"/>
      <x:c r="F317" s="25"/>
      <x:c r="G317" s="25"/>
      <x:c r="H317" s="25"/>
      <x:c r="I317" s="25"/>
      <x:c r="J317" s="25"/>
      <x:c r="K317" s="25"/>
      <x:c r="L317" s="25"/>
      <x:c r="M317" s="25"/>
      <x:c r="N317" s="25"/>
      <x:c r="O317" s="25"/>
      <x:c r="P317" s="25"/>
      <x:c r="Q317" s="25"/>
      <x:c r="R317" s="25"/>
      <x:c r="S317" s="25"/>
      <x:c r="T317" s="25"/>
      <x:c r="U317" s="25"/>
      <x:c r="V317" s="25"/>
      <x:c r="W317" s="25"/>
      <x:c r="X317" s="25"/>
      <x:c r="Y317" s="25"/>
      <x:c r="Z317" s="25"/>
    </x:row>
    <x:row r="318">
      <x:c r="A318" s="25"/>
      <x:c r="B318" s="25"/>
      <x:c r="C318" s="25"/>
      <x:c r="D318" s="25"/>
      <x:c r="E318" s="25"/>
      <x:c r="F318" s="25"/>
      <x:c r="G318" s="25"/>
      <x:c r="H318" s="25"/>
      <x:c r="I318" s="25"/>
      <x:c r="J318" s="25"/>
      <x:c r="K318" s="25"/>
      <x:c r="L318" s="25"/>
      <x:c r="M318" s="25"/>
      <x:c r="N318" s="25"/>
      <x:c r="O318" s="25"/>
      <x:c r="P318" s="25"/>
      <x:c r="Q318" s="25"/>
      <x:c r="R318" s="25"/>
      <x:c r="S318" s="25"/>
      <x:c r="T318" s="25"/>
      <x:c r="U318" s="25"/>
      <x:c r="V318" s="25"/>
      <x:c r="W318" s="25"/>
      <x:c r="X318" s="25"/>
      <x:c r="Y318" s="25"/>
      <x:c r="Z318" s="25"/>
    </x:row>
    <x:row r="319">
      <x:c r="A319" s="25"/>
      <x:c r="B319" s="25"/>
      <x:c r="C319" s="25"/>
      <x:c r="D319" s="25"/>
      <x:c r="E319" s="25"/>
      <x:c r="F319" s="25"/>
      <x:c r="G319" s="25"/>
      <x:c r="H319" s="25"/>
      <x:c r="I319" s="25"/>
      <x:c r="J319" s="25"/>
      <x:c r="K319" s="25"/>
      <x:c r="L319" s="25"/>
      <x:c r="M319" s="25"/>
      <x:c r="N319" s="25"/>
      <x:c r="O319" s="25"/>
      <x:c r="P319" s="25"/>
      <x:c r="Q319" s="25"/>
      <x:c r="R319" s="25"/>
      <x:c r="S319" s="25"/>
      <x:c r="T319" s="25"/>
      <x:c r="U319" s="25"/>
      <x:c r="V319" s="25"/>
      <x:c r="W319" s="25"/>
      <x:c r="X319" s="25"/>
      <x:c r="Y319" s="25"/>
      <x:c r="Z319" s="25"/>
    </x:row>
    <x:row r="320">
      <x:c r="A320" s="25"/>
      <x:c r="B320" s="25"/>
      <x:c r="C320" s="25"/>
      <x:c r="D320" s="25"/>
      <x:c r="E320" s="25"/>
      <x:c r="F320" s="25"/>
      <x:c r="G320" s="25"/>
      <x:c r="H320" s="25"/>
      <x:c r="I320" s="25"/>
      <x:c r="J320" s="25"/>
      <x:c r="K320" s="25"/>
      <x:c r="L320" s="25"/>
      <x:c r="M320" s="25"/>
      <x:c r="N320" s="25"/>
      <x:c r="O320" s="25"/>
      <x:c r="P320" s="25"/>
      <x:c r="Q320" s="25"/>
      <x:c r="R320" s="25"/>
      <x:c r="S320" s="25"/>
      <x:c r="T320" s="25"/>
      <x:c r="U320" s="25"/>
      <x:c r="V320" s="25"/>
      <x:c r="W320" s="25"/>
      <x:c r="X320" s="25"/>
      <x:c r="Y320" s="25"/>
      <x:c r="Z320" s="25"/>
    </x:row>
    <x:row r="321">
      <x:c r="A321" s="25"/>
      <x:c r="B321" s="25"/>
      <x:c r="C321" s="25"/>
      <x:c r="D321" s="25"/>
      <x:c r="E321" s="25"/>
      <x:c r="F321" s="25"/>
      <x:c r="G321" s="25"/>
      <x:c r="H321" s="25"/>
      <x:c r="I321" s="25"/>
      <x:c r="J321" s="25"/>
      <x:c r="K321" s="25"/>
      <x:c r="L321" s="25"/>
      <x:c r="M321" s="25"/>
      <x:c r="N321" s="25"/>
      <x:c r="O321" s="25"/>
      <x:c r="P321" s="25"/>
      <x:c r="Q321" s="25"/>
      <x:c r="R321" s="25"/>
      <x:c r="S321" s="25"/>
      <x:c r="T321" s="25"/>
      <x:c r="U321" s="25"/>
      <x:c r="V321" s="25"/>
      <x:c r="W321" s="25"/>
      <x:c r="X321" s="25"/>
      <x:c r="Y321" s="25"/>
      <x:c r="Z321" s="25"/>
    </x:row>
    <x:row r="322">
      <x:c r="A322" s="25"/>
      <x:c r="B322" s="25"/>
      <x:c r="C322" s="25"/>
      <x:c r="D322" s="25"/>
      <x:c r="E322" s="25"/>
      <x:c r="F322" s="25"/>
      <x:c r="G322" s="25"/>
      <x:c r="H322" s="25"/>
      <x:c r="I322" s="25"/>
      <x:c r="J322" s="25"/>
      <x:c r="K322" s="25"/>
      <x:c r="L322" s="25"/>
      <x:c r="M322" s="25"/>
      <x:c r="N322" s="25"/>
      <x:c r="O322" s="25"/>
      <x:c r="P322" s="25"/>
      <x:c r="Q322" s="25"/>
      <x:c r="R322" s="25"/>
      <x:c r="S322" s="25"/>
      <x:c r="T322" s="25"/>
      <x:c r="U322" s="25"/>
      <x:c r="V322" s="25"/>
      <x:c r="W322" s="25"/>
      <x:c r="X322" s="25"/>
      <x:c r="Y322" s="25"/>
      <x:c r="Z322" s="25"/>
    </x:row>
    <x:row r="323">
      <x:c r="A323" s="25"/>
      <x:c r="B323" s="25"/>
      <x:c r="C323" s="25"/>
      <x:c r="D323" s="25"/>
      <x:c r="E323" s="25"/>
      <x:c r="F323" s="25"/>
      <x:c r="G323" s="25"/>
      <x:c r="H323" s="25"/>
      <x:c r="I323" s="25"/>
      <x:c r="J323" s="25"/>
      <x:c r="K323" s="25"/>
      <x:c r="L323" s="25"/>
      <x:c r="M323" s="25"/>
      <x:c r="N323" s="25"/>
      <x:c r="O323" s="25"/>
      <x:c r="P323" s="25"/>
      <x:c r="Q323" s="25"/>
      <x:c r="R323" s="25"/>
      <x:c r="S323" s="25"/>
      <x:c r="T323" s="25"/>
      <x:c r="U323" s="25"/>
      <x:c r="V323" s="25"/>
      <x:c r="W323" s="25"/>
      <x:c r="X323" s="25"/>
      <x:c r="Y323" s="25"/>
      <x:c r="Z323" s="25"/>
    </x:row>
    <x:row r="324">
      <x:c r="A324" s="25"/>
      <x:c r="B324" s="25"/>
      <x:c r="C324" s="25"/>
      <x:c r="D324" s="25"/>
      <x:c r="E324" s="25"/>
      <x:c r="F324" s="25"/>
      <x:c r="G324" s="25"/>
      <x:c r="H324" s="25"/>
      <x:c r="I324" s="25"/>
      <x:c r="J324" s="25"/>
      <x:c r="K324" s="25"/>
      <x:c r="L324" s="25"/>
      <x:c r="M324" s="25"/>
      <x:c r="N324" s="25"/>
      <x:c r="O324" s="25"/>
      <x:c r="P324" s="25"/>
      <x:c r="Q324" s="25"/>
      <x:c r="R324" s="25"/>
      <x:c r="S324" s="25"/>
      <x:c r="T324" s="25"/>
      <x:c r="U324" s="25"/>
      <x:c r="V324" s="25"/>
      <x:c r="W324" s="25"/>
      <x:c r="X324" s="25"/>
      <x:c r="Y324" s="25"/>
      <x:c r="Z324" s="25"/>
    </x:row>
    <x:row r="325">
      <x:c r="A325" s="25"/>
      <x:c r="B325" s="25"/>
      <x:c r="C325" s="25"/>
      <x:c r="D325" s="25"/>
      <x:c r="E325" s="25"/>
      <x:c r="F325" s="25"/>
      <x:c r="G325" s="25"/>
      <x:c r="H325" s="25"/>
      <x:c r="I325" s="25"/>
      <x:c r="J325" s="25"/>
      <x:c r="K325" s="25"/>
      <x:c r="L325" s="25"/>
      <x:c r="M325" s="25"/>
      <x:c r="N325" s="25"/>
      <x:c r="O325" s="25"/>
      <x:c r="P325" s="25"/>
      <x:c r="Q325" s="25"/>
      <x:c r="R325" s="25"/>
      <x:c r="S325" s="25"/>
      <x:c r="T325" s="25"/>
      <x:c r="U325" s="25"/>
      <x:c r="V325" s="25"/>
      <x:c r="W325" s="25"/>
      <x:c r="X325" s="25"/>
      <x:c r="Y325" s="25"/>
      <x:c r="Z325" s="25"/>
    </x:row>
    <x:row r="326">
      <x:c r="A326" s="25"/>
      <x:c r="B326" s="25"/>
      <x:c r="C326" s="25"/>
      <x:c r="D326" s="25"/>
      <x:c r="E326" s="25"/>
      <x:c r="F326" s="25"/>
      <x:c r="G326" s="25"/>
      <x:c r="H326" s="25"/>
      <x:c r="I326" s="25"/>
      <x:c r="J326" s="25"/>
      <x:c r="K326" s="25"/>
      <x:c r="L326" s="25"/>
      <x:c r="M326" s="25"/>
      <x:c r="N326" s="25"/>
      <x:c r="O326" s="25"/>
      <x:c r="P326" s="25"/>
      <x:c r="Q326" s="25"/>
      <x:c r="R326" s="25"/>
      <x:c r="S326" s="25"/>
      <x:c r="T326" s="25"/>
      <x:c r="U326" s="25"/>
      <x:c r="V326" s="25"/>
      <x:c r="W326" s="25"/>
      <x:c r="X326" s="25"/>
      <x:c r="Y326" s="25"/>
      <x:c r="Z326" s="25"/>
    </x:row>
    <x:row r="327">
      <x:c r="A327" s="25"/>
      <x:c r="B327" s="25"/>
      <x:c r="C327" s="25"/>
      <x:c r="D327" s="25"/>
      <x:c r="E327" s="25"/>
      <x:c r="F327" s="25"/>
      <x:c r="G327" s="25"/>
      <x:c r="H327" s="25"/>
      <x:c r="I327" s="25"/>
      <x:c r="J327" s="25"/>
      <x:c r="K327" s="25"/>
      <x:c r="L327" s="25"/>
      <x:c r="M327" s="25"/>
      <x:c r="N327" s="25"/>
      <x:c r="O327" s="25"/>
      <x:c r="P327" s="25"/>
      <x:c r="Q327" s="25"/>
      <x:c r="R327" s="25"/>
      <x:c r="S327" s="25"/>
      <x:c r="T327" s="25"/>
      <x:c r="U327" s="25"/>
      <x:c r="V327" s="25"/>
      <x:c r="W327" s="25"/>
      <x:c r="X327" s="25"/>
      <x:c r="Y327" s="25"/>
      <x:c r="Z327" s="25"/>
    </x:row>
    <x:row r="328">
      <x:c r="A328" s="25"/>
      <x:c r="B328" s="25"/>
      <x:c r="C328" s="25"/>
      <x:c r="D328" s="25"/>
      <x:c r="E328" s="25"/>
      <x:c r="F328" s="25"/>
      <x:c r="G328" s="25"/>
      <x:c r="H328" s="25"/>
      <x:c r="I328" s="25"/>
      <x:c r="J328" s="25"/>
      <x:c r="K328" s="25"/>
      <x:c r="L328" s="25"/>
      <x:c r="M328" s="25"/>
      <x:c r="N328" s="25"/>
      <x:c r="O328" s="25"/>
      <x:c r="P328" s="25"/>
      <x:c r="Q328" s="25"/>
      <x:c r="R328" s="25"/>
      <x:c r="S328" s="25"/>
      <x:c r="T328" s="25"/>
      <x:c r="U328" s="25"/>
      <x:c r="V328" s="25"/>
      <x:c r="W328" s="25"/>
      <x:c r="X328" s="25"/>
      <x:c r="Y328" s="25"/>
      <x:c r="Z328" s="25"/>
    </x:row>
    <x:row r="329">
      <x:c r="A329" s="25"/>
      <x:c r="B329" s="25"/>
      <x:c r="C329" s="25"/>
      <x:c r="D329" s="25"/>
      <x:c r="E329" s="25"/>
      <x:c r="F329" s="25"/>
      <x:c r="G329" s="25"/>
      <x:c r="H329" s="25"/>
      <x:c r="I329" s="25"/>
      <x:c r="J329" s="25"/>
      <x:c r="K329" s="25"/>
      <x:c r="L329" s="25"/>
      <x:c r="M329" s="25"/>
      <x:c r="N329" s="25"/>
      <x:c r="O329" s="25"/>
      <x:c r="P329" s="25"/>
      <x:c r="Q329" s="25"/>
      <x:c r="R329" s="25"/>
      <x:c r="S329" s="25"/>
      <x:c r="T329" s="25"/>
      <x:c r="U329" s="25"/>
      <x:c r="V329" s="25"/>
      <x:c r="W329" s="25"/>
      <x:c r="X329" s="25"/>
      <x:c r="Y329" s="25"/>
      <x:c r="Z329" s="25"/>
    </x:row>
    <x:row r="330">
      <x:c r="A330" s="25"/>
      <x:c r="B330" s="25"/>
      <x:c r="C330" s="25"/>
      <x:c r="D330" s="25"/>
      <x:c r="E330" s="25"/>
      <x:c r="F330" s="25"/>
      <x:c r="G330" s="25"/>
      <x:c r="H330" s="25"/>
      <x:c r="I330" s="25"/>
      <x:c r="J330" s="25"/>
      <x:c r="K330" s="25"/>
      <x:c r="L330" s="25"/>
      <x:c r="M330" s="25"/>
      <x:c r="N330" s="25"/>
      <x:c r="O330" s="25"/>
      <x:c r="P330" s="25"/>
      <x:c r="Q330" s="25"/>
      <x:c r="R330" s="25"/>
      <x:c r="S330" s="25"/>
      <x:c r="T330" s="25"/>
      <x:c r="U330" s="25"/>
      <x:c r="V330" s="25"/>
      <x:c r="W330" s="25"/>
      <x:c r="X330" s="25"/>
      <x:c r="Y330" s="25"/>
      <x:c r="Z330" s="25"/>
    </x:row>
    <x:row r="331">
      <x:c r="A331" s="25"/>
      <x:c r="B331" s="25"/>
      <x:c r="C331" s="25"/>
      <x:c r="D331" s="25"/>
      <x:c r="E331" s="25"/>
      <x:c r="F331" s="25"/>
      <x:c r="G331" s="25"/>
      <x:c r="H331" s="25"/>
      <x:c r="I331" s="25"/>
      <x:c r="J331" s="25"/>
      <x:c r="K331" s="25"/>
      <x:c r="L331" s="25"/>
      <x:c r="M331" s="25"/>
      <x:c r="N331" s="25"/>
      <x:c r="O331" s="25"/>
      <x:c r="P331" s="25"/>
      <x:c r="Q331" s="25"/>
      <x:c r="R331" s="25"/>
      <x:c r="S331" s="25"/>
      <x:c r="T331" s="25"/>
      <x:c r="U331" s="25"/>
      <x:c r="V331" s="25"/>
      <x:c r="W331" s="25"/>
      <x:c r="X331" s="25"/>
      <x:c r="Y331" s="25"/>
      <x:c r="Z331" s="25"/>
    </x:row>
    <x:row r="332">
      <x:c r="A332" s="25"/>
      <x:c r="B332" s="25"/>
      <x:c r="C332" s="25"/>
      <x:c r="D332" s="25"/>
      <x:c r="E332" s="25"/>
      <x:c r="F332" s="25"/>
      <x:c r="G332" s="25"/>
      <x:c r="H332" s="25"/>
      <x:c r="I332" s="25"/>
      <x:c r="J332" s="25"/>
      <x:c r="K332" s="25"/>
      <x:c r="L332" s="25"/>
      <x:c r="M332" s="25"/>
      <x:c r="N332" s="25"/>
      <x:c r="O332" s="25"/>
      <x:c r="P332" s="25"/>
      <x:c r="Q332" s="25"/>
      <x:c r="R332" s="25"/>
      <x:c r="S332" s="25"/>
      <x:c r="T332" s="25"/>
      <x:c r="U332" s="25"/>
      <x:c r="V332" s="25"/>
      <x:c r="W332" s="25"/>
      <x:c r="X332" s="25"/>
      <x:c r="Y332" s="25"/>
      <x:c r="Z332" s="25"/>
    </x:row>
    <x:row r="333">
      <x:c r="A333" s="25"/>
      <x:c r="B333" s="25"/>
      <x:c r="C333" s="25"/>
      <x:c r="D333" s="25"/>
      <x:c r="E333" s="25"/>
      <x:c r="F333" s="25"/>
      <x:c r="G333" s="25"/>
      <x:c r="H333" s="25"/>
      <x:c r="I333" s="25"/>
      <x:c r="J333" s="25"/>
      <x:c r="K333" s="25"/>
      <x:c r="L333" s="25"/>
      <x:c r="M333" s="25"/>
      <x:c r="N333" s="25"/>
      <x:c r="O333" s="25"/>
      <x:c r="P333" s="25"/>
      <x:c r="Q333" s="25"/>
      <x:c r="R333" s="25"/>
      <x:c r="S333" s="25"/>
      <x:c r="T333" s="25"/>
      <x:c r="U333" s="25"/>
      <x:c r="V333" s="25"/>
      <x:c r="W333" s="25"/>
      <x:c r="X333" s="25"/>
      <x:c r="Y333" s="25"/>
      <x:c r="Z333" s="25"/>
    </x:row>
    <x:row r="334">
      <x:c r="A334" s="25"/>
      <x:c r="B334" s="25"/>
      <x:c r="C334" s="25"/>
      <x:c r="D334" s="25"/>
      <x:c r="E334" s="25"/>
      <x:c r="F334" s="25"/>
      <x:c r="G334" s="25"/>
      <x:c r="H334" s="25"/>
      <x:c r="I334" s="25"/>
      <x:c r="J334" s="25"/>
      <x:c r="K334" s="25"/>
      <x:c r="L334" s="25"/>
      <x:c r="M334" s="25"/>
      <x:c r="N334" s="25"/>
      <x:c r="O334" s="25"/>
      <x:c r="P334" s="25"/>
      <x:c r="Q334" s="25"/>
      <x:c r="R334" s="25"/>
      <x:c r="S334" s="25"/>
      <x:c r="T334" s="25"/>
      <x:c r="U334" s="25"/>
      <x:c r="V334" s="25"/>
      <x:c r="W334" s="25"/>
      <x:c r="X334" s="25"/>
      <x:c r="Y334" s="25"/>
      <x:c r="Z334" s="25"/>
    </x:row>
    <x:row r="335">
      <x:c r="A335" s="25"/>
      <x:c r="B335" s="25"/>
      <x:c r="C335" s="25"/>
      <x:c r="D335" s="25"/>
      <x:c r="E335" s="25"/>
      <x:c r="F335" s="25"/>
      <x:c r="G335" s="25"/>
      <x:c r="H335" s="25"/>
      <x:c r="I335" s="25"/>
      <x:c r="J335" s="25"/>
      <x:c r="K335" s="25"/>
      <x:c r="L335" s="25"/>
      <x:c r="M335" s="25"/>
      <x:c r="N335" s="25"/>
      <x:c r="O335" s="25"/>
      <x:c r="P335" s="25"/>
      <x:c r="Q335" s="25"/>
      <x:c r="R335" s="25"/>
      <x:c r="S335" s="25"/>
      <x:c r="T335" s="25"/>
      <x:c r="U335" s="25"/>
      <x:c r="V335" s="25"/>
      <x:c r="W335" s="25"/>
      <x:c r="X335" s="25"/>
      <x:c r="Y335" s="25"/>
      <x:c r="Z335" s="25"/>
    </x:row>
    <x:row r="336">
      <x:c r="A336" s="25"/>
      <x:c r="B336" s="25"/>
      <x:c r="C336" s="25"/>
      <x:c r="D336" s="25"/>
      <x:c r="E336" s="25"/>
      <x:c r="F336" s="25"/>
      <x:c r="G336" s="25"/>
      <x:c r="H336" s="25"/>
      <x:c r="I336" s="25"/>
      <x:c r="J336" s="25"/>
      <x:c r="K336" s="25"/>
      <x:c r="L336" s="25"/>
      <x:c r="M336" s="25"/>
      <x:c r="N336" s="25"/>
      <x:c r="O336" s="25"/>
      <x:c r="P336" s="25"/>
      <x:c r="Q336" s="25"/>
      <x:c r="R336" s="25"/>
      <x:c r="S336" s="25"/>
      <x:c r="T336" s="25"/>
      <x:c r="U336" s="25"/>
      <x:c r="V336" s="25"/>
      <x:c r="W336" s="25"/>
      <x:c r="X336" s="25"/>
      <x:c r="Y336" s="25"/>
      <x:c r="Z336" s="25"/>
    </x:row>
    <x:row r="337">
      <x:c r="A337" s="25"/>
      <x:c r="B337" s="25"/>
      <x:c r="C337" s="25"/>
      <x:c r="D337" s="25"/>
      <x:c r="E337" s="25"/>
      <x:c r="F337" s="25"/>
      <x:c r="G337" s="25"/>
      <x:c r="H337" s="25"/>
      <x:c r="I337" s="25"/>
      <x:c r="J337" s="25"/>
      <x:c r="K337" s="25"/>
      <x:c r="L337" s="25"/>
      <x:c r="M337" s="25"/>
      <x:c r="N337" s="25"/>
      <x:c r="O337" s="25"/>
      <x:c r="P337" s="25"/>
      <x:c r="Q337" s="25"/>
      <x:c r="R337" s="25"/>
      <x:c r="S337" s="25"/>
      <x:c r="T337" s="25"/>
      <x:c r="U337" s="25"/>
      <x:c r="V337" s="25"/>
      <x:c r="W337" s="25"/>
      <x:c r="X337" s="25"/>
      <x:c r="Y337" s="25"/>
      <x:c r="Z337" s="25"/>
    </x:row>
    <x:row r="338">
      <x:c r="A338" s="25"/>
      <x:c r="B338" s="25"/>
      <x:c r="C338" s="25"/>
      <x:c r="D338" s="25"/>
      <x:c r="E338" s="25"/>
      <x:c r="F338" s="25"/>
      <x:c r="G338" s="25"/>
      <x:c r="H338" s="25"/>
      <x:c r="I338" s="25"/>
      <x:c r="J338" s="25"/>
      <x:c r="K338" s="25"/>
      <x:c r="L338" s="25"/>
      <x:c r="M338" s="25"/>
      <x:c r="N338" s="25"/>
      <x:c r="O338" s="25"/>
      <x:c r="P338" s="25"/>
      <x:c r="Q338" s="25"/>
      <x:c r="R338" s="25"/>
      <x:c r="S338" s="25"/>
      <x:c r="T338" s="25"/>
      <x:c r="U338" s="25"/>
      <x:c r="V338" s="25"/>
      <x:c r="W338" s="25"/>
      <x:c r="X338" s="25"/>
      <x:c r="Y338" s="25"/>
      <x:c r="Z338" s="25"/>
    </x:row>
    <x:row r="339">
      <x:c r="A339" s="25"/>
      <x:c r="B339" s="25"/>
      <x:c r="C339" s="25"/>
      <x:c r="D339" s="25"/>
      <x:c r="E339" s="25"/>
      <x:c r="F339" s="25"/>
      <x:c r="G339" s="25"/>
      <x:c r="H339" s="25"/>
      <x:c r="I339" s="25"/>
      <x:c r="J339" s="25"/>
      <x:c r="K339" s="25"/>
      <x:c r="L339" s="25"/>
      <x:c r="M339" s="25"/>
      <x:c r="N339" s="25"/>
      <x:c r="O339" s="25"/>
      <x:c r="P339" s="25"/>
      <x:c r="Q339" s="25"/>
      <x:c r="R339" s="25"/>
      <x:c r="S339" s="25"/>
      <x:c r="T339" s="25"/>
      <x:c r="U339" s="25"/>
      <x:c r="V339" s="25"/>
      <x:c r="W339" s="25"/>
      <x:c r="X339" s="25"/>
      <x:c r="Y339" s="25"/>
      <x:c r="Z339" s="25"/>
    </x:row>
    <x:row r="340">
      <x:c r="A340" s="25"/>
      <x:c r="B340" s="25"/>
      <x:c r="C340" s="25"/>
      <x:c r="D340" s="25"/>
      <x:c r="E340" s="25"/>
      <x:c r="F340" s="25"/>
      <x:c r="G340" s="25"/>
      <x:c r="H340" s="25"/>
      <x:c r="I340" s="25"/>
      <x:c r="J340" s="25"/>
      <x:c r="K340" s="25"/>
      <x:c r="L340" s="25"/>
      <x:c r="M340" s="25"/>
      <x:c r="N340" s="25"/>
      <x:c r="O340" s="25"/>
      <x:c r="P340" s="25"/>
      <x:c r="Q340" s="25"/>
      <x:c r="R340" s="25"/>
      <x:c r="S340" s="25"/>
      <x:c r="T340" s="25"/>
      <x:c r="U340" s="25"/>
      <x:c r="V340" s="25"/>
      <x:c r="W340" s="25"/>
      <x:c r="X340" s="25"/>
      <x:c r="Y340" s="25"/>
      <x:c r="Z340" s="25"/>
    </x:row>
    <x:row r="341">
      <x:c r="A341" s="25"/>
      <x:c r="B341" s="25"/>
      <x:c r="C341" s="25"/>
      <x:c r="D341" s="25"/>
      <x:c r="E341" s="25"/>
      <x:c r="F341" s="25"/>
      <x:c r="G341" s="25"/>
      <x:c r="H341" s="25"/>
      <x:c r="I341" s="25"/>
      <x:c r="J341" s="25"/>
      <x:c r="K341" s="25"/>
      <x:c r="L341" s="25"/>
      <x:c r="M341" s="25"/>
      <x:c r="N341" s="25"/>
      <x:c r="O341" s="25"/>
      <x:c r="P341" s="25"/>
      <x:c r="Q341" s="25"/>
      <x:c r="R341" s="25"/>
      <x:c r="S341" s="25"/>
      <x:c r="T341" s="25"/>
      <x:c r="U341" s="25"/>
      <x:c r="V341" s="25"/>
      <x:c r="W341" s="25"/>
      <x:c r="X341" s="25"/>
      <x:c r="Y341" s="25"/>
      <x:c r="Z341" s="25"/>
    </x:row>
    <x:row r="342">
      <x:c r="A342" s="25"/>
      <x:c r="B342" s="25"/>
      <x:c r="C342" s="25"/>
      <x:c r="D342" s="25"/>
      <x:c r="E342" s="25"/>
      <x:c r="F342" s="25"/>
      <x:c r="G342" s="25"/>
      <x:c r="H342" s="25"/>
      <x:c r="I342" s="25"/>
      <x:c r="J342" s="25"/>
      <x:c r="K342" s="25"/>
      <x:c r="L342" s="25"/>
      <x:c r="M342" s="25"/>
      <x:c r="N342" s="25"/>
      <x:c r="O342" s="25"/>
      <x:c r="P342" s="25"/>
      <x:c r="Q342" s="25"/>
      <x:c r="R342" s="25"/>
      <x:c r="S342" s="25"/>
      <x:c r="T342" s="25"/>
      <x:c r="U342" s="25"/>
      <x:c r="V342" s="25"/>
      <x:c r="W342" s="25"/>
      <x:c r="X342" s="25"/>
      <x:c r="Y342" s="25"/>
      <x:c r="Z342" s="25"/>
    </x:row>
    <x:row r="343">
      <x:c r="A343" s="25"/>
      <x:c r="B343" s="25"/>
      <x:c r="C343" s="25"/>
      <x:c r="D343" s="25"/>
      <x:c r="E343" s="25"/>
      <x:c r="F343" s="25"/>
      <x:c r="G343" s="25"/>
      <x:c r="H343" s="25"/>
      <x:c r="I343" s="25"/>
      <x:c r="J343" s="25"/>
      <x:c r="K343" s="25"/>
      <x:c r="L343" s="25"/>
      <x:c r="M343" s="25"/>
      <x:c r="N343" s="25"/>
      <x:c r="O343" s="25"/>
      <x:c r="P343" s="25"/>
      <x:c r="Q343" s="25"/>
      <x:c r="R343" s="25"/>
      <x:c r="S343" s="25"/>
      <x:c r="T343" s="25"/>
      <x:c r="U343" s="25"/>
      <x:c r="V343" s="25"/>
      <x:c r="W343" s="25"/>
      <x:c r="X343" s="25"/>
      <x:c r="Y343" s="25"/>
      <x:c r="Z343" s="25"/>
    </x:row>
    <x:row r="344">
      <x:c r="A344" s="25"/>
      <x:c r="B344" s="25"/>
      <x:c r="C344" s="25"/>
      <x:c r="D344" s="25"/>
      <x:c r="E344" s="25"/>
      <x:c r="F344" s="25"/>
      <x:c r="G344" s="25"/>
      <x:c r="H344" s="25"/>
      <x:c r="I344" s="25"/>
      <x:c r="J344" s="25"/>
      <x:c r="K344" s="25"/>
      <x:c r="L344" s="25"/>
      <x:c r="M344" s="25"/>
      <x:c r="N344" s="25"/>
      <x:c r="O344" s="25"/>
      <x:c r="P344" s="25"/>
      <x:c r="Q344" s="25"/>
      <x:c r="R344" s="25"/>
      <x:c r="S344" s="25"/>
      <x:c r="T344" s="25"/>
      <x:c r="U344" s="25"/>
      <x:c r="V344" s="25"/>
      <x:c r="W344" s="25"/>
      <x:c r="X344" s="25"/>
      <x:c r="Y344" s="25"/>
      <x:c r="Z344" s="25"/>
    </x:row>
    <x:row r="345">
      <x:c r="A345" s="25"/>
      <x:c r="B345" s="25"/>
      <x:c r="C345" s="25"/>
      <x:c r="D345" s="25"/>
      <x:c r="E345" s="25"/>
      <x:c r="F345" s="25"/>
      <x:c r="G345" s="25"/>
      <x:c r="H345" s="25"/>
      <x:c r="I345" s="25"/>
      <x:c r="J345" s="25"/>
      <x:c r="K345" s="25"/>
      <x:c r="L345" s="25"/>
      <x:c r="M345" s="25"/>
      <x:c r="N345" s="25"/>
      <x:c r="O345" s="25"/>
      <x:c r="P345" s="25"/>
      <x:c r="Q345" s="25"/>
      <x:c r="R345" s="25"/>
      <x:c r="S345" s="25"/>
      <x:c r="T345" s="25"/>
      <x:c r="U345" s="25"/>
      <x:c r="V345" s="25"/>
      <x:c r="W345" s="25"/>
      <x:c r="X345" s="25"/>
      <x:c r="Y345" s="25"/>
      <x:c r="Z345" s="25"/>
    </x:row>
    <x:row r="346">
      <x:c r="A346" s="25"/>
      <x:c r="B346" s="25"/>
      <x:c r="C346" s="25"/>
      <x:c r="D346" s="25"/>
      <x:c r="E346" s="25"/>
      <x:c r="F346" s="25"/>
      <x:c r="G346" s="25"/>
      <x:c r="H346" s="25"/>
      <x:c r="I346" s="25"/>
      <x:c r="J346" s="25"/>
      <x:c r="K346" s="25"/>
      <x:c r="L346" s="25"/>
      <x:c r="M346" s="25"/>
      <x:c r="N346" s="25"/>
      <x:c r="O346" s="25"/>
      <x:c r="P346" s="25"/>
      <x:c r="Q346" s="25"/>
      <x:c r="R346" s="25"/>
      <x:c r="S346" s="25"/>
      <x:c r="T346" s="25"/>
      <x:c r="U346" s="25"/>
      <x:c r="V346" s="25"/>
      <x:c r="W346" s="25"/>
      <x:c r="X346" s="25"/>
      <x:c r="Y346" s="25"/>
      <x:c r="Z346" s="25"/>
    </x:row>
    <x:row r="347">
      <x:c r="A347" s="25"/>
      <x:c r="B347" s="25"/>
      <x:c r="C347" s="25"/>
      <x:c r="D347" s="25"/>
      <x:c r="E347" s="25"/>
      <x:c r="F347" s="25"/>
      <x:c r="G347" s="25"/>
      <x:c r="H347" s="25"/>
      <x:c r="I347" s="25"/>
      <x:c r="J347" s="25"/>
      <x:c r="K347" s="25"/>
      <x:c r="L347" s="25"/>
      <x:c r="M347" s="25"/>
      <x:c r="N347" s="25"/>
      <x:c r="O347" s="25"/>
      <x:c r="P347" s="25"/>
      <x:c r="Q347" s="25"/>
      <x:c r="R347" s="25"/>
      <x:c r="S347" s="25"/>
      <x:c r="T347" s="25"/>
      <x:c r="U347" s="25"/>
      <x:c r="V347" s="25"/>
      <x:c r="W347" s="25"/>
      <x:c r="X347" s="25"/>
      <x:c r="Y347" s="25"/>
      <x:c r="Z347" s="25"/>
    </x:row>
    <x:row r="348">
      <x:c r="A348" s="25"/>
      <x:c r="B348" s="25"/>
      <x:c r="C348" s="25"/>
      <x:c r="D348" s="25"/>
      <x:c r="E348" s="25"/>
      <x:c r="F348" s="25"/>
      <x:c r="G348" s="25"/>
      <x:c r="H348" s="25"/>
      <x:c r="I348" s="25"/>
      <x:c r="J348" s="25"/>
      <x:c r="K348" s="25"/>
      <x:c r="L348" s="25"/>
      <x:c r="M348" s="25"/>
      <x:c r="N348" s="25"/>
      <x:c r="O348" s="25"/>
      <x:c r="P348" s="25"/>
      <x:c r="Q348" s="25"/>
      <x:c r="R348" s="25"/>
      <x:c r="S348" s="25"/>
      <x:c r="T348" s="25"/>
      <x:c r="U348" s="25"/>
      <x:c r="V348" s="25"/>
      <x:c r="W348" s="25"/>
      <x:c r="X348" s="25"/>
      <x:c r="Y348" s="25"/>
      <x:c r="Z348" s="25"/>
    </x:row>
    <x:row r="349">
      <x:c r="A349" s="25"/>
      <x:c r="B349" s="25"/>
      <x:c r="C349" s="25"/>
      <x:c r="D349" s="25"/>
      <x:c r="E349" s="25"/>
      <x:c r="F349" s="25"/>
      <x:c r="G349" s="25"/>
      <x:c r="H349" s="25"/>
      <x:c r="I349" s="25"/>
      <x:c r="J349" s="25"/>
      <x:c r="K349" s="25"/>
      <x:c r="L349" s="25"/>
      <x:c r="M349" s="25"/>
      <x:c r="N349" s="25"/>
      <x:c r="O349" s="25"/>
      <x:c r="P349" s="25"/>
      <x:c r="Q349" s="25"/>
      <x:c r="R349" s="25"/>
      <x:c r="S349" s="25"/>
      <x:c r="T349" s="25"/>
      <x:c r="U349" s="25"/>
      <x:c r="V349" s="25"/>
      <x:c r="W349" s="25"/>
      <x:c r="X349" s="25"/>
      <x:c r="Y349" s="25"/>
      <x:c r="Z349" s="25"/>
    </x:row>
    <x:row r="350">
      <x:c r="A350" s="25"/>
      <x:c r="B350" s="25"/>
      <x:c r="C350" s="25"/>
      <x:c r="D350" s="25"/>
      <x:c r="E350" s="25"/>
      <x:c r="F350" s="25"/>
      <x:c r="G350" s="25"/>
      <x:c r="H350" s="25"/>
      <x:c r="I350" s="25"/>
      <x:c r="J350" s="25"/>
      <x:c r="K350" s="25"/>
      <x:c r="L350" s="25"/>
      <x:c r="M350" s="25"/>
      <x:c r="N350" s="25"/>
      <x:c r="O350" s="25"/>
      <x:c r="P350" s="25"/>
      <x:c r="Q350" s="25"/>
      <x:c r="R350" s="25"/>
      <x:c r="S350" s="25"/>
      <x:c r="T350" s="25"/>
      <x:c r="U350" s="25"/>
      <x:c r="V350" s="25"/>
      <x:c r="W350" s="25"/>
      <x:c r="X350" s="25"/>
      <x:c r="Y350" s="25"/>
      <x:c r="Z350" s="25"/>
    </x:row>
    <x:row r="351">
      <x:c r="A351" s="25"/>
      <x:c r="B351" s="25"/>
      <x:c r="C351" s="25"/>
      <x:c r="D351" s="25"/>
      <x:c r="E351" s="25"/>
      <x:c r="F351" s="25"/>
      <x:c r="G351" s="25"/>
      <x:c r="H351" s="25"/>
      <x:c r="I351" s="25"/>
      <x:c r="J351" s="25"/>
      <x:c r="K351" s="25"/>
      <x:c r="L351" s="25"/>
      <x:c r="M351" s="25"/>
      <x:c r="N351" s="25"/>
      <x:c r="O351" s="25"/>
      <x:c r="P351" s="25"/>
      <x:c r="Q351" s="25"/>
      <x:c r="R351" s="25"/>
      <x:c r="S351" s="25"/>
      <x:c r="T351" s="25"/>
      <x:c r="U351" s="25"/>
      <x:c r="V351" s="25"/>
      <x:c r="W351" s="25"/>
      <x:c r="X351" s="25"/>
      <x:c r="Y351" s="25"/>
      <x:c r="Z351" s="25"/>
    </x:row>
    <x:row r="352">
      <x:c r="A352" s="25"/>
      <x:c r="B352" s="25"/>
      <x:c r="C352" s="25"/>
      <x:c r="D352" s="25"/>
      <x:c r="E352" s="25"/>
      <x:c r="F352" s="25"/>
      <x:c r="G352" s="25"/>
      <x:c r="H352" s="25"/>
      <x:c r="I352" s="25"/>
      <x:c r="J352" s="25"/>
      <x:c r="K352" s="25"/>
      <x:c r="L352" s="25"/>
      <x:c r="M352" s="25"/>
      <x:c r="N352" s="25"/>
      <x:c r="O352" s="25"/>
      <x:c r="P352" s="25"/>
      <x:c r="Q352" s="25"/>
      <x:c r="R352" s="25"/>
      <x:c r="S352" s="25"/>
      <x:c r="T352" s="25"/>
      <x:c r="U352" s="25"/>
      <x:c r="V352" s="25"/>
      <x:c r="W352" s="25"/>
      <x:c r="X352" s="25"/>
      <x:c r="Y352" s="25"/>
      <x:c r="Z352" s="25"/>
    </x:row>
    <x:row r="353">
      <x:c r="A353" s="25"/>
      <x:c r="B353" s="25"/>
      <x:c r="C353" s="25"/>
      <x:c r="D353" s="25"/>
      <x:c r="E353" s="25"/>
      <x:c r="F353" s="25"/>
      <x:c r="G353" s="25"/>
      <x:c r="H353" s="25"/>
      <x:c r="I353" s="25"/>
      <x:c r="J353" s="25"/>
      <x:c r="K353" s="25"/>
      <x:c r="L353" s="25"/>
      <x:c r="M353" s="25"/>
      <x:c r="N353" s="25"/>
      <x:c r="O353" s="25"/>
      <x:c r="P353" s="25"/>
      <x:c r="Q353" s="25"/>
      <x:c r="R353" s="25"/>
      <x:c r="S353" s="25"/>
      <x:c r="T353" s="25"/>
      <x:c r="U353" s="25"/>
      <x:c r="V353" s="25"/>
      <x:c r="W353" s="25"/>
      <x:c r="X353" s="25"/>
      <x:c r="Y353" s="25"/>
      <x:c r="Z353" s="25"/>
    </x:row>
    <x:row r="354">
      <x:c r="A354" s="25"/>
      <x:c r="B354" s="25"/>
      <x:c r="C354" s="25"/>
      <x:c r="D354" s="25"/>
      <x:c r="E354" s="25"/>
      <x:c r="F354" s="25"/>
      <x:c r="G354" s="25"/>
      <x:c r="H354" s="25"/>
      <x:c r="I354" s="25"/>
      <x:c r="J354" s="25"/>
      <x:c r="K354" s="25"/>
      <x:c r="L354" s="25"/>
      <x:c r="M354" s="25"/>
      <x:c r="N354" s="25"/>
      <x:c r="O354" s="25"/>
      <x:c r="P354" s="25"/>
      <x:c r="Q354" s="25"/>
      <x:c r="R354" s="25"/>
      <x:c r="S354" s="25"/>
      <x:c r="T354" s="25"/>
      <x:c r="U354" s="25"/>
      <x:c r="V354" s="25"/>
      <x:c r="W354" s="25"/>
      <x:c r="X354" s="25"/>
      <x:c r="Y354" s="25"/>
      <x:c r="Z354" s="25"/>
    </x:row>
    <x:row r="355">
      <x:c r="A355" s="25"/>
      <x:c r="B355" s="25"/>
      <x:c r="C355" s="25"/>
      <x:c r="D355" s="25"/>
      <x:c r="E355" s="25"/>
      <x:c r="F355" s="25"/>
      <x:c r="G355" s="25"/>
      <x:c r="H355" s="25"/>
      <x:c r="I355" s="25"/>
      <x:c r="J355" s="25"/>
      <x:c r="K355" s="25"/>
      <x:c r="L355" s="25"/>
      <x:c r="M355" s="25"/>
      <x:c r="N355" s="25"/>
      <x:c r="O355" s="25"/>
      <x:c r="P355" s="25"/>
      <x:c r="Q355" s="25"/>
      <x:c r="R355" s="25"/>
      <x:c r="S355" s="25"/>
      <x:c r="T355" s="25"/>
      <x:c r="U355" s="25"/>
      <x:c r="V355" s="25"/>
      <x:c r="W355" s="25"/>
      <x:c r="X355" s="25"/>
      <x:c r="Y355" s="25"/>
      <x:c r="Z355" s="25"/>
    </x:row>
    <x:row r="356">
      <x:c r="A356" s="25"/>
      <x:c r="B356" s="25"/>
      <x:c r="C356" s="25"/>
      <x:c r="D356" s="25"/>
      <x:c r="E356" s="25"/>
      <x:c r="F356" s="25"/>
      <x:c r="G356" s="25"/>
      <x:c r="H356" s="25"/>
      <x:c r="I356" s="25"/>
      <x:c r="J356" s="25"/>
      <x:c r="K356" s="25"/>
      <x:c r="L356" s="25"/>
      <x:c r="M356" s="25"/>
      <x:c r="N356" s="25"/>
      <x:c r="O356" s="25"/>
      <x:c r="P356" s="25"/>
      <x:c r="Q356" s="25"/>
      <x:c r="R356" s="25"/>
      <x:c r="S356" s="25"/>
      <x:c r="T356" s="25"/>
      <x:c r="U356" s="25"/>
      <x:c r="V356" s="25"/>
      <x:c r="W356" s="25"/>
      <x:c r="X356" s="25"/>
      <x:c r="Y356" s="25"/>
      <x:c r="Z356" s="25"/>
    </x:row>
    <x:row r="357">
      <x:c r="A357" s="25"/>
      <x:c r="B357" s="25"/>
      <x:c r="C357" s="25"/>
      <x:c r="D357" s="25"/>
      <x:c r="E357" s="25"/>
      <x:c r="F357" s="25"/>
      <x:c r="G357" s="25"/>
      <x:c r="H357" s="25"/>
      <x:c r="I357" s="25"/>
      <x:c r="J357" s="25"/>
      <x:c r="K357" s="25"/>
      <x:c r="L357" s="25"/>
      <x:c r="M357" s="25"/>
      <x:c r="N357" s="25"/>
      <x:c r="O357" s="25"/>
      <x:c r="P357" s="25"/>
      <x:c r="Q357" s="25"/>
      <x:c r="R357" s="25"/>
      <x:c r="S357" s="25"/>
      <x:c r="T357" s="25"/>
      <x:c r="U357" s="25"/>
      <x:c r="V357" s="25"/>
      <x:c r="W357" s="25"/>
      <x:c r="X357" s="25"/>
      <x:c r="Y357" s="25"/>
      <x:c r="Z357" s="25"/>
    </x:row>
    <x:row r="358">
      <x:c r="A358" s="25"/>
      <x:c r="B358" s="25"/>
      <x:c r="C358" s="25"/>
      <x:c r="D358" s="25"/>
      <x:c r="E358" s="25"/>
      <x:c r="F358" s="25"/>
      <x:c r="G358" s="25"/>
      <x:c r="H358" s="25"/>
      <x:c r="I358" s="25"/>
      <x:c r="J358" s="25"/>
      <x:c r="K358" s="25"/>
      <x:c r="L358" s="25"/>
      <x:c r="M358" s="25"/>
      <x:c r="N358" s="25"/>
      <x:c r="O358" s="25"/>
      <x:c r="P358" s="25"/>
      <x:c r="Q358" s="25"/>
      <x:c r="R358" s="25"/>
      <x:c r="S358" s="25"/>
      <x:c r="T358" s="25"/>
      <x:c r="U358" s="25"/>
      <x:c r="V358" s="25"/>
      <x:c r="W358" s="25"/>
      <x:c r="X358" s="25"/>
      <x:c r="Y358" s="25"/>
      <x:c r="Z358" s="25"/>
    </x:row>
    <x:row r="359">
      <x:c r="A359" s="25"/>
      <x:c r="B359" s="25"/>
      <x:c r="C359" s="25"/>
      <x:c r="D359" s="25"/>
      <x:c r="E359" s="25"/>
      <x:c r="F359" s="25"/>
      <x:c r="G359" s="25"/>
      <x:c r="H359" s="25"/>
      <x:c r="I359" s="25"/>
      <x:c r="J359" s="25"/>
      <x:c r="K359" s="25"/>
      <x:c r="L359" s="25"/>
      <x:c r="M359" s="25"/>
      <x:c r="N359" s="25"/>
      <x:c r="O359" s="25"/>
      <x:c r="P359" s="25"/>
      <x:c r="Q359" s="25"/>
      <x:c r="R359" s="25"/>
      <x:c r="S359" s="25"/>
      <x:c r="T359" s="25"/>
      <x:c r="U359" s="25"/>
      <x:c r="V359" s="25"/>
      <x:c r="W359" s="25"/>
      <x:c r="X359" s="25"/>
      <x:c r="Y359" s="25"/>
      <x:c r="Z359" s="25"/>
    </x:row>
    <x:row r="360">
      <x:c r="A360" s="25"/>
      <x:c r="B360" s="25"/>
      <x:c r="C360" s="25"/>
      <x:c r="D360" s="25"/>
      <x:c r="E360" s="25"/>
      <x:c r="F360" s="25"/>
      <x:c r="G360" s="25"/>
      <x:c r="H360" s="25"/>
      <x:c r="I360" s="25"/>
      <x:c r="J360" s="25"/>
      <x:c r="K360" s="25"/>
      <x:c r="L360" s="25"/>
      <x:c r="M360" s="25"/>
      <x:c r="N360" s="25"/>
      <x:c r="O360" s="25"/>
      <x:c r="P360" s="25"/>
      <x:c r="Q360" s="25"/>
      <x:c r="R360" s="25"/>
      <x:c r="S360" s="25"/>
      <x:c r="T360" s="25"/>
      <x:c r="U360" s="25"/>
      <x:c r="V360" s="25"/>
      <x:c r="W360" s="25"/>
      <x:c r="X360" s="25"/>
      <x:c r="Y360" s="25"/>
      <x:c r="Z360" s="25"/>
    </x:row>
    <x:row r="361">
      <x:c r="A361" s="25"/>
      <x:c r="B361" s="25"/>
      <x:c r="C361" s="25"/>
      <x:c r="D361" s="25"/>
      <x:c r="E361" s="25"/>
      <x:c r="F361" s="25"/>
      <x:c r="G361" s="25"/>
      <x:c r="H361" s="25"/>
      <x:c r="I361" s="25"/>
      <x:c r="J361" s="25"/>
      <x:c r="K361" s="25"/>
      <x:c r="L361" s="25"/>
      <x:c r="M361" s="25"/>
      <x:c r="N361" s="25"/>
      <x:c r="O361" s="25"/>
      <x:c r="P361" s="25"/>
      <x:c r="Q361" s="25"/>
      <x:c r="R361" s="25"/>
      <x:c r="S361" s="25"/>
      <x:c r="T361" s="25"/>
      <x:c r="U361" s="25"/>
      <x:c r="V361" s="25"/>
      <x:c r="W361" s="25"/>
      <x:c r="X361" s="25"/>
      <x:c r="Y361" s="25"/>
      <x:c r="Z361" s="25"/>
    </x:row>
    <x:row r="362">
      <x:c r="A362" s="25"/>
      <x:c r="B362" s="25"/>
      <x:c r="C362" s="25"/>
      <x:c r="D362" s="25"/>
      <x:c r="E362" s="25"/>
      <x:c r="F362" s="25"/>
      <x:c r="G362" s="25"/>
      <x:c r="H362" s="25"/>
      <x:c r="I362" s="25"/>
      <x:c r="J362" s="25"/>
      <x:c r="K362" s="25"/>
      <x:c r="L362" s="25"/>
      <x:c r="M362" s="25"/>
      <x:c r="N362" s="25"/>
      <x:c r="O362" s="25"/>
      <x:c r="P362" s="25"/>
      <x:c r="Q362" s="25"/>
      <x:c r="R362" s="25"/>
      <x:c r="S362" s="25"/>
      <x:c r="T362" s="25"/>
      <x:c r="U362" s="25"/>
      <x:c r="V362" s="25"/>
      <x:c r="W362" s="25"/>
      <x:c r="X362" s="25"/>
      <x:c r="Y362" s="25"/>
      <x:c r="Z362" s="25"/>
    </x:row>
    <x:row r="363">
      <x:c r="A363" s="25"/>
      <x:c r="B363" s="25"/>
      <x:c r="C363" s="25"/>
      <x:c r="D363" s="25"/>
      <x:c r="E363" s="25"/>
      <x:c r="F363" s="25"/>
      <x:c r="G363" s="25"/>
      <x:c r="H363" s="25"/>
      <x:c r="I363" s="25"/>
      <x:c r="J363" s="25"/>
      <x:c r="K363" s="25"/>
      <x:c r="L363" s="25"/>
      <x:c r="M363" s="25"/>
      <x:c r="N363" s="25"/>
      <x:c r="O363" s="25"/>
      <x:c r="P363" s="25"/>
      <x:c r="Q363" s="25"/>
      <x:c r="R363" s="25"/>
      <x:c r="S363" s="25"/>
      <x:c r="T363" s="25"/>
      <x:c r="U363" s="25"/>
      <x:c r="V363" s="25"/>
      <x:c r="W363" s="25"/>
      <x:c r="X363" s="25"/>
      <x:c r="Y363" s="25"/>
      <x:c r="Z363" s="25"/>
    </x:row>
    <x:row r="364">
      <x:c r="A364" s="25"/>
      <x:c r="B364" s="25"/>
      <x:c r="C364" s="25"/>
      <x:c r="D364" s="25"/>
      <x:c r="E364" s="25"/>
      <x:c r="F364" s="25"/>
      <x:c r="G364" s="25"/>
      <x:c r="H364" s="25"/>
      <x:c r="I364" s="25"/>
      <x:c r="J364" s="25"/>
      <x:c r="K364" s="25"/>
      <x:c r="L364" s="25"/>
      <x:c r="M364" s="25"/>
      <x:c r="N364" s="25"/>
      <x:c r="O364" s="25"/>
      <x:c r="P364" s="25"/>
      <x:c r="Q364" s="25"/>
      <x:c r="R364" s="25"/>
      <x:c r="S364" s="25"/>
      <x:c r="T364" s="25"/>
      <x:c r="U364" s="25"/>
      <x:c r="V364" s="25"/>
      <x:c r="W364" s="25"/>
      <x:c r="X364" s="25"/>
      <x:c r="Y364" s="25"/>
      <x:c r="Z364" s="25"/>
    </x:row>
    <x:row r="365">
      <x:c r="A365" s="25"/>
      <x:c r="B365" s="25"/>
      <x:c r="C365" s="25"/>
      <x:c r="D365" s="25"/>
      <x:c r="E365" s="25"/>
      <x:c r="F365" s="25"/>
      <x:c r="G365" s="25"/>
      <x:c r="H365" s="25"/>
      <x:c r="I365" s="25"/>
      <x:c r="J365" s="25"/>
      <x:c r="K365" s="25"/>
      <x:c r="L365" s="25"/>
      <x:c r="M365" s="25"/>
      <x:c r="N365" s="25"/>
      <x:c r="O365" s="25"/>
      <x:c r="P365" s="25"/>
      <x:c r="Q365" s="25"/>
      <x:c r="R365" s="25"/>
      <x:c r="S365" s="25"/>
      <x:c r="T365" s="25"/>
      <x:c r="U365" s="25"/>
      <x:c r="V365" s="25"/>
      <x:c r="W365" s="25"/>
      <x:c r="X365" s="25"/>
      <x:c r="Y365" s="25"/>
      <x:c r="Z365" s="25"/>
    </x:row>
    <x:row r="366">
      <x:c r="A366" s="25"/>
      <x:c r="B366" s="25"/>
      <x:c r="C366" s="25"/>
      <x:c r="D366" s="25"/>
      <x:c r="E366" s="25"/>
      <x:c r="F366" s="25"/>
      <x:c r="G366" s="25"/>
      <x:c r="H366" s="25"/>
      <x:c r="I366" s="25"/>
      <x:c r="J366" s="25"/>
      <x:c r="K366" s="25"/>
      <x:c r="L366" s="25"/>
      <x:c r="M366" s="25"/>
      <x:c r="N366" s="25"/>
      <x:c r="O366" s="25"/>
      <x:c r="P366" s="25"/>
      <x:c r="Q366" s="25"/>
      <x:c r="R366" s="25"/>
      <x:c r="S366" s="25"/>
      <x:c r="T366" s="25"/>
      <x:c r="U366" s="25"/>
      <x:c r="V366" s="25"/>
      <x:c r="W366" s="25"/>
      <x:c r="X366" s="25"/>
      <x:c r="Y366" s="25"/>
      <x:c r="Z366" s="25"/>
    </x:row>
    <x:row r="367">
      <x:c r="A367" s="25"/>
      <x:c r="B367" s="25"/>
      <x:c r="C367" s="25"/>
      <x:c r="D367" s="25"/>
      <x:c r="E367" s="25"/>
      <x:c r="F367" s="25"/>
      <x:c r="G367" s="25"/>
      <x:c r="H367" s="25"/>
      <x:c r="I367" s="25"/>
      <x:c r="J367" s="25"/>
      <x:c r="K367" s="25"/>
      <x:c r="L367" s="25"/>
      <x:c r="M367" s="25"/>
      <x:c r="N367" s="25"/>
      <x:c r="O367" s="25"/>
      <x:c r="P367" s="25"/>
      <x:c r="Q367" s="25"/>
      <x:c r="R367" s="25"/>
      <x:c r="S367" s="25"/>
      <x:c r="T367" s="25"/>
      <x:c r="U367" s="25"/>
      <x:c r="V367" s="25"/>
      <x:c r="W367" s="25"/>
      <x:c r="X367" s="25"/>
      <x:c r="Y367" s="25"/>
      <x:c r="Z367" s="25"/>
    </x:row>
    <x:row r="368">
      <x:c r="A368" s="25"/>
      <x:c r="B368" s="25"/>
      <x:c r="C368" s="25"/>
      <x:c r="D368" s="25"/>
      <x:c r="E368" s="25"/>
      <x:c r="F368" s="25"/>
      <x:c r="G368" s="25"/>
      <x:c r="H368" s="25"/>
      <x:c r="I368" s="25"/>
      <x:c r="J368" s="25"/>
      <x:c r="K368" s="25"/>
      <x:c r="L368" s="25"/>
      <x:c r="M368" s="25"/>
      <x:c r="N368" s="25"/>
      <x:c r="O368" s="25"/>
      <x:c r="P368" s="25"/>
      <x:c r="Q368" s="25"/>
      <x:c r="R368" s="25"/>
      <x:c r="S368" s="25"/>
      <x:c r="T368" s="25"/>
      <x:c r="U368" s="25"/>
      <x:c r="V368" s="25"/>
      <x:c r="W368" s="25"/>
      <x:c r="X368" s="25"/>
      <x:c r="Y368" s="25"/>
      <x:c r="Z368" s="25"/>
    </x:row>
    <x:row r="369">
      <x:c r="A369" s="25"/>
      <x:c r="B369" s="25"/>
      <x:c r="C369" s="25"/>
      <x:c r="D369" s="25"/>
      <x:c r="E369" s="25"/>
      <x:c r="F369" s="25"/>
      <x:c r="G369" s="25"/>
      <x:c r="H369" s="25"/>
      <x:c r="I369" s="25"/>
      <x:c r="J369" s="25"/>
      <x:c r="K369" s="25"/>
      <x:c r="L369" s="25"/>
      <x:c r="M369" s="25"/>
      <x:c r="N369" s="25"/>
      <x:c r="O369" s="25"/>
      <x:c r="P369" s="25"/>
      <x:c r="Q369" s="25"/>
      <x:c r="R369" s="25"/>
      <x:c r="S369" s="25"/>
      <x:c r="T369" s="25"/>
      <x:c r="U369" s="25"/>
      <x:c r="V369" s="25"/>
      <x:c r="W369" s="25"/>
      <x:c r="X369" s="25"/>
      <x:c r="Y369" s="25"/>
      <x:c r="Z369" s="25"/>
    </x:row>
    <x:row r="370">
      <x:c r="A370" s="25"/>
      <x:c r="B370" s="25"/>
      <x:c r="C370" s="25"/>
      <x:c r="D370" s="25"/>
      <x:c r="E370" s="25"/>
      <x:c r="F370" s="25"/>
      <x:c r="G370" s="25"/>
      <x:c r="H370" s="25"/>
      <x:c r="I370" s="25"/>
      <x:c r="J370" s="25"/>
      <x:c r="K370" s="25"/>
      <x:c r="L370" s="25"/>
      <x:c r="M370" s="25"/>
      <x:c r="N370" s="25"/>
      <x:c r="O370" s="25"/>
      <x:c r="P370" s="25"/>
      <x:c r="Q370" s="25"/>
      <x:c r="R370" s="25"/>
      <x:c r="S370" s="25"/>
      <x:c r="T370" s="25"/>
      <x:c r="U370" s="25"/>
      <x:c r="V370" s="25"/>
      <x:c r="W370" s="25"/>
      <x:c r="X370" s="25"/>
      <x:c r="Y370" s="25"/>
      <x:c r="Z370" s="25"/>
    </x:row>
    <x:row r="371">
      <x:c r="A371" s="25"/>
      <x:c r="B371" s="25"/>
      <x:c r="C371" s="25"/>
      <x:c r="D371" s="25"/>
      <x:c r="E371" s="25"/>
      <x:c r="F371" s="25"/>
      <x:c r="G371" s="25"/>
      <x:c r="H371" s="25"/>
      <x:c r="I371" s="25"/>
      <x:c r="J371" s="25"/>
      <x:c r="K371" s="25"/>
      <x:c r="L371" s="25"/>
      <x:c r="M371" s="25"/>
      <x:c r="N371" s="25"/>
      <x:c r="O371" s="25"/>
      <x:c r="P371" s="25"/>
      <x:c r="Q371" s="25"/>
      <x:c r="R371" s="25"/>
      <x:c r="S371" s="25"/>
      <x:c r="T371" s="25"/>
      <x:c r="U371" s="25"/>
      <x:c r="V371" s="25"/>
      <x:c r="W371" s="25"/>
      <x:c r="X371" s="25"/>
      <x:c r="Y371" s="25"/>
      <x:c r="Z371" s="25"/>
    </x:row>
    <x:row r="372">
      <x:c r="A372" s="25"/>
      <x:c r="B372" s="25"/>
      <x:c r="C372" s="25"/>
      <x:c r="D372" s="25"/>
      <x:c r="E372" s="25"/>
      <x:c r="F372" s="25"/>
      <x:c r="G372" s="25"/>
      <x:c r="H372" s="25"/>
      <x:c r="I372" s="25"/>
      <x:c r="J372" s="25"/>
      <x:c r="K372" s="25"/>
      <x:c r="L372" s="25"/>
      <x:c r="M372" s="25"/>
      <x:c r="N372" s="25"/>
      <x:c r="O372" s="25"/>
      <x:c r="P372" s="25"/>
      <x:c r="Q372" s="25"/>
      <x:c r="R372" s="25"/>
      <x:c r="S372" s="25"/>
      <x:c r="T372" s="25"/>
      <x:c r="U372" s="25"/>
      <x:c r="V372" s="25"/>
      <x:c r="W372" s="25"/>
      <x:c r="X372" s="25"/>
      <x:c r="Y372" s="25"/>
      <x:c r="Z372" s="25"/>
    </x:row>
    <x:row r="373">
      <x:c r="A373" s="25"/>
      <x:c r="B373" s="25"/>
      <x:c r="C373" s="25"/>
      <x:c r="D373" s="25"/>
      <x:c r="E373" s="25"/>
      <x:c r="F373" s="25"/>
      <x:c r="G373" s="25"/>
      <x:c r="H373" s="25"/>
      <x:c r="I373" s="25"/>
      <x:c r="J373" s="25"/>
      <x:c r="K373" s="25"/>
      <x:c r="L373" s="25"/>
      <x:c r="M373" s="25"/>
      <x:c r="N373" s="25"/>
      <x:c r="O373" s="25"/>
      <x:c r="P373" s="25"/>
      <x:c r="Q373" s="25"/>
      <x:c r="R373" s="25"/>
      <x:c r="S373" s="25"/>
      <x:c r="T373" s="25"/>
      <x:c r="U373" s="25"/>
      <x:c r="V373" s="25"/>
      <x:c r="W373" s="25"/>
      <x:c r="X373" s="25"/>
      <x:c r="Y373" s="25"/>
      <x:c r="Z373" s="25"/>
    </x:row>
    <x:row r="374">
      <x:c r="A374" s="25"/>
      <x:c r="B374" s="25"/>
      <x:c r="C374" s="25"/>
      <x:c r="D374" s="25"/>
      <x:c r="E374" s="25"/>
      <x:c r="F374" s="25"/>
      <x:c r="G374" s="25"/>
      <x:c r="H374" s="25"/>
      <x:c r="I374" s="25"/>
      <x:c r="J374" s="25"/>
      <x:c r="K374" s="25"/>
      <x:c r="L374" s="25"/>
      <x:c r="M374" s="25"/>
      <x:c r="N374" s="25"/>
      <x:c r="O374" s="25"/>
      <x:c r="P374" s="25"/>
      <x:c r="Q374" s="25"/>
      <x:c r="R374" s="25"/>
      <x:c r="S374" s="25"/>
      <x:c r="T374" s="25"/>
      <x:c r="U374" s="25"/>
      <x:c r="V374" s="25"/>
      <x:c r="W374" s="25"/>
      <x:c r="X374" s="25"/>
      <x:c r="Y374" s="25"/>
      <x:c r="Z374" s="25"/>
    </x:row>
    <x:row r="375">
      <x:c r="A375" s="25"/>
      <x:c r="B375" s="25"/>
      <x:c r="C375" s="25"/>
      <x:c r="D375" s="25"/>
      <x:c r="E375" s="25"/>
      <x:c r="F375" s="25"/>
      <x:c r="G375" s="25"/>
      <x:c r="H375" s="25"/>
      <x:c r="I375" s="25"/>
      <x:c r="J375" s="25"/>
      <x:c r="K375" s="25"/>
      <x:c r="L375" s="25"/>
      <x:c r="M375" s="25"/>
      <x:c r="N375" s="25"/>
      <x:c r="O375" s="25"/>
      <x:c r="P375" s="25"/>
      <x:c r="Q375" s="25"/>
      <x:c r="R375" s="25"/>
      <x:c r="S375" s="25"/>
      <x:c r="T375" s="25"/>
      <x:c r="U375" s="25"/>
      <x:c r="V375" s="25"/>
      <x:c r="W375" s="25"/>
      <x:c r="X375" s="25"/>
      <x:c r="Y375" s="25"/>
      <x:c r="Z375" s="25"/>
    </x:row>
    <x:row r="376">
      <x:c r="A376" s="25"/>
      <x:c r="B376" s="25"/>
      <x:c r="C376" s="25"/>
      <x:c r="D376" s="25"/>
      <x:c r="E376" s="25"/>
      <x:c r="F376" s="25"/>
      <x:c r="G376" s="25"/>
      <x:c r="H376" s="25"/>
      <x:c r="I376" s="25"/>
      <x:c r="J376" s="25"/>
      <x:c r="K376" s="25"/>
      <x:c r="L376" s="25"/>
      <x:c r="M376" s="25"/>
      <x:c r="N376" s="25"/>
      <x:c r="O376" s="25"/>
      <x:c r="P376" s="25"/>
      <x:c r="Q376" s="25"/>
      <x:c r="R376" s="25"/>
      <x:c r="S376" s="25"/>
      <x:c r="T376" s="25"/>
      <x:c r="U376" s="25"/>
      <x:c r="V376" s="25"/>
      <x:c r="W376" s="25"/>
      <x:c r="X376" s="25"/>
      <x:c r="Y376" s="25"/>
      <x:c r="Z376" s="25"/>
    </x:row>
    <x:row r="377">
      <x:c r="A377" s="25"/>
      <x:c r="B377" s="25"/>
      <x:c r="C377" s="25"/>
      <x:c r="D377" s="25"/>
      <x:c r="E377" s="25"/>
      <x:c r="F377" s="25"/>
      <x:c r="G377" s="25"/>
      <x:c r="H377" s="25"/>
      <x:c r="I377" s="25"/>
      <x:c r="J377" s="25"/>
      <x:c r="K377" s="25"/>
      <x:c r="L377" s="25"/>
      <x:c r="M377" s="25"/>
      <x:c r="N377" s="25"/>
      <x:c r="O377" s="25"/>
      <x:c r="P377" s="25"/>
      <x:c r="Q377" s="25"/>
      <x:c r="R377" s="25"/>
      <x:c r="S377" s="25"/>
      <x:c r="T377" s="25"/>
      <x:c r="U377" s="25"/>
      <x:c r="V377" s="25"/>
      <x:c r="W377" s="25"/>
      <x:c r="X377" s="25"/>
      <x:c r="Y377" s="25"/>
      <x:c r="Z377" s="25"/>
    </x:row>
    <x:row r="378">
      <x:c r="A378" s="25"/>
      <x:c r="B378" s="25"/>
      <x:c r="C378" s="25"/>
      <x:c r="D378" s="25"/>
      <x:c r="E378" s="25"/>
      <x:c r="F378" s="25"/>
      <x:c r="G378" s="25"/>
      <x:c r="H378" s="25"/>
      <x:c r="I378" s="25"/>
      <x:c r="J378" s="25"/>
      <x:c r="K378" s="25"/>
      <x:c r="L378" s="25"/>
      <x:c r="M378" s="25"/>
      <x:c r="N378" s="25"/>
      <x:c r="O378" s="25"/>
      <x:c r="P378" s="25"/>
      <x:c r="Q378" s="25"/>
      <x:c r="R378" s="25"/>
      <x:c r="S378" s="25"/>
      <x:c r="T378" s="25"/>
      <x:c r="U378" s="25"/>
      <x:c r="V378" s="25"/>
      <x:c r="W378" s="25"/>
      <x:c r="X378" s="25"/>
      <x:c r="Y378" s="25"/>
      <x:c r="Z378" s="25"/>
    </x:row>
    <x:row r="379">
      <x:c r="A379" s="25"/>
      <x:c r="B379" s="25"/>
      <x:c r="C379" s="25"/>
      <x:c r="D379" s="25"/>
      <x:c r="E379" s="25"/>
      <x:c r="F379" s="25"/>
      <x:c r="G379" s="25"/>
      <x:c r="H379" s="25"/>
      <x:c r="I379" s="25"/>
      <x:c r="J379" s="25"/>
      <x:c r="K379" s="25"/>
      <x:c r="L379" s="25"/>
      <x:c r="M379" s="25"/>
      <x:c r="N379" s="25"/>
      <x:c r="O379" s="25"/>
      <x:c r="P379" s="25"/>
      <x:c r="Q379" s="25"/>
      <x:c r="R379" s="25"/>
      <x:c r="S379" s="25"/>
      <x:c r="T379" s="25"/>
      <x:c r="U379" s="25"/>
      <x:c r="V379" s="25"/>
      <x:c r="W379" s="25"/>
      <x:c r="X379" s="25"/>
      <x:c r="Y379" s="25"/>
      <x:c r="Z379" s="25"/>
    </x:row>
    <x:row r="380">
      <x:c r="A380" s="25"/>
      <x:c r="B380" s="25"/>
      <x:c r="C380" s="25"/>
      <x:c r="D380" s="25"/>
      <x:c r="E380" s="25"/>
      <x:c r="F380" s="25"/>
      <x:c r="G380" s="25"/>
      <x:c r="H380" s="25"/>
      <x:c r="I380" s="25"/>
      <x:c r="J380" s="25"/>
      <x:c r="K380" s="25"/>
      <x:c r="L380" s="25"/>
      <x:c r="M380" s="25"/>
      <x:c r="N380" s="25"/>
      <x:c r="O380" s="25"/>
      <x:c r="P380" s="25"/>
      <x:c r="Q380" s="25"/>
      <x:c r="R380" s="25"/>
      <x:c r="S380" s="25"/>
      <x:c r="T380" s="25"/>
      <x:c r="U380" s="25"/>
      <x:c r="V380" s="25"/>
      <x:c r="W380" s="25"/>
      <x:c r="X380" s="25"/>
      <x:c r="Y380" s="25"/>
      <x:c r="Z380" s="25"/>
    </x:row>
    <x:row r="381">
      <x:c r="A381" s="25"/>
      <x:c r="B381" s="25"/>
      <x:c r="C381" s="25"/>
      <x:c r="D381" s="25"/>
      <x:c r="E381" s="25"/>
      <x:c r="F381" s="25"/>
      <x:c r="G381" s="25"/>
      <x:c r="H381" s="25"/>
      <x:c r="I381" s="25"/>
      <x:c r="J381" s="25"/>
      <x:c r="K381" s="25"/>
      <x:c r="L381" s="25"/>
      <x:c r="M381" s="25"/>
      <x:c r="N381" s="25"/>
      <x:c r="O381" s="25"/>
      <x:c r="P381" s="25"/>
      <x:c r="Q381" s="25"/>
      <x:c r="R381" s="25"/>
      <x:c r="S381" s="25"/>
      <x:c r="T381" s="25"/>
      <x:c r="U381" s="25"/>
      <x:c r="V381" s="25"/>
      <x:c r="W381" s="25"/>
      <x:c r="X381" s="25"/>
      <x:c r="Y381" s="25"/>
      <x:c r="Z381" s="25"/>
    </x:row>
    <x:row r="382">
      <x:c r="A382" s="25"/>
      <x:c r="B382" s="25"/>
      <x:c r="C382" s="25"/>
      <x:c r="D382" s="25"/>
      <x:c r="E382" s="25"/>
      <x:c r="F382" s="25"/>
      <x:c r="G382" s="25"/>
      <x:c r="H382" s="25"/>
      <x:c r="I382" s="25"/>
      <x:c r="J382" s="25"/>
      <x:c r="K382" s="25"/>
      <x:c r="L382" s="25"/>
      <x:c r="M382" s="25"/>
      <x:c r="N382" s="25"/>
      <x:c r="O382" s="25"/>
      <x:c r="P382" s="25"/>
      <x:c r="Q382" s="25"/>
      <x:c r="R382" s="25"/>
      <x:c r="S382" s="25"/>
      <x:c r="T382" s="25"/>
      <x:c r="U382" s="25"/>
      <x:c r="V382" s="25"/>
      <x:c r="W382" s="25"/>
      <x:c r="X382" s="25"/>
      <x:c r="Y382" s="25"/>
      <x:c r="Z382" s="25"/>
    </x:row>
    <x:row r="383">
      <x:c r="A383" s="25"/>
      <x:c r="B383" s="25"/>
      <x:c r="C383" s="25"/>
      <x:c r="D383" s="25"/>
      <x:c r="E383" s="25"/>
      <x:c r="F383" s="25"/>
      <x:c r="G383" s="25"/>
      <x:c r="H383" s="25"/>
      <x:c r="I383" s="25"/>
      <x:c r="J383" s="25"/>
      <x:c r="K383" s="25"/>
      <x:c r="L383" s="25"/>
      <x:c r="M383" s="25"/>
      <x:c r="N383" s="25"/>
      <x:c r="O383" s="25"/>
      <x:c r="P383" s="25"/>
      <x:c r="Q383" s="25"/>
      <x:c r="R383" s="25"/>
      <x:c r="S383" s="25"/>
      <x:c r="T383" s="25"/>
      <x:c r="U383" s="25"/>
      <x:c r="V383" s="25"/>
      <x:c r="W383" s="25"/>
      <x:c r="X383" s="25"/>
      <x:c r="Y383" s="25"/>
      <x:c r="Z383" s="25"/>
    </x:row>
    <x:row r="384">
      <x:c r="A384" s="25"/>
      <x:c r="B384" s="25"/>
      <x:c r="C384" s="25"/>
      <x:c r="D384" s="25"/>
      <x:c r="E384" s="25"/>
      <x:c r="F384" s="25"/>
      <x:c r="G384" s="25"/>
      <x:c r="H384" s="25"/>
      <x:c r="I384" s="25"/>
      <x:c r="J384" s="25"/>
      <x:c r="K384" s="25"/>
      <x:c r="L384" s="25"/>
      <x:c r="M384" s="25"/>
      <x:c r="N384" s="25"/>
      <x:c r="O384" s="25"/>
      <x:c r="P384" s="25"/>
      <x:c r="Q384" s="25"/>
      <x:c r="R384" s="25"/>
      <x:c r="S384" s="25"/>
      <x:c r="T384" s="25"/>
      <x:c r="U384" s="25"/>
      <x:c r="V384" s="25"/>
      <x:c r="W384" s="25"/>
      <x:c r="X384" s="25"/>
      <x:c r="Y384" s="25"/>
      <x:c r="Z384" s="25"/>
    </x:row>
    <x:row r="385">
      <x:c r="A385" s="25"/>
      <x:c r="B385" s="25"/>
      <x:c r="C385" s="25"/>
      <x:c r="D385" s="25"/>
      <x:c r="E385" s="25"/>
      <x:c r="F385" s="25"/>
      <x:c r="G385" s="25"/>
      <x:c r="H385" s="25"/>
      <x:c r="I385" s="25"/>
      <x:c r="J385" s="25"/>
      <x:c r="K385" s="25"/>
      <x:c r="L385" s="25"/>
      <x:c r="M385" s="25"/>
      <x:c r="N385" s="25"/>
      <x:c r="O385" s="25"/>
      <x:c r="P385" s="25"/>
      <x:c r="Q385" s="25"/>
      <x:c r="R385" s="25"/>
      <x:c r="S385" s="25"/>
      <x:c r="T385" s="25"/>
      <x:c r="U385" s="25"/>
      <x:c r="V385" s="25"/>
      <x:c r="W385" s="25"/>
      <x:c r="X385" s="25"/>
      <x:c r="Y385" s="25"/>
      <x:c r="Z385" s="25"/>
    </x:row>
    <x:row r="386">
      <x:c r="A386" s="25"/>
      <x:c r="B386" s="25"/>
      <x:c r="C386" s="25"/>
      <x:c r="D386" s="25"/>
      <x:c r="E386" s="25"/>
      <x:c r="F386" s="25"/>
      <x:c r="G386" s="25"/>
      <x:c r="H386" s="25"/>
      <x:c r="I386" s="25"/>
      <x:c r="J386" s="25"/>
      <x:c r="K386" s="25"/>
      <x:c r="L386" s="25"/>
      <x:c r="M386" s="25"/>
      <x:c r="N386" s="25"/>
      <x:c r="O386" s="25"/>
      <x:c r="P386" s="25"/>
      <x:c r="Q386" s="25"/>
      <x:c r="R386" s="25"/>
      <x:c r="S386" s="25"/>
      <x:c r="T386" s="25"/>
      <x:c r="U386" s="25"/>
      <x:c r="V386" s="25"/>
      <x:c r="W386" s="25"/>
      <x:c r="X386" s="25"/>
      <x:c r="Y386" s="25"/>
      <x:c r="Z386" s="25"/>
    </x:row>
    <x:row r="387">
      <x:c r="A387" s="25"/>
      <x:c r="B387" s="25"/>
      <x:c r="C387" s="25"/>
      <x:c r="D387" s="25"/>
      <x:c r="E387" s="25"/>
      <x:c r="F387" s="25"/>
      <x:c r="G387" s="25"/>
      <x:c r="H387" s="25"/>
      <x:c r="I387" s="25"/>
      <x:c r="J387" s="25"/>
      <x:c r="K387" s="25"/>
      <x:c r="L387" s="25"/>
      <x:c r="M387" s="25"/>
      <x:c r="N387" s="25"/>
      <x:c r="O387" s="25"/>
      <x:c r="P387" s="25"/>
      <x:c r="Q387" s="25"/>
      <x:c r="R387" s="25"/>
      <x:c r="S387" s="25"/>
      <x:c r="T387" s="25"/>
      <x:c r="U387" s="25"/>
      <x:c r="V387" s="25"/>
      <x:c r="W387" s="25"/>
      <x:c r="X387" s="25"/>
      <x:c r="Y387" s="25"/>
      <x:c r="Z387" s="25"/>
    </x:row>
    <x:row r="388">
      <x:c r="A388" s="25"/>
      <x:c r="B388" s="25"/>
      <x:c r="C388" s="25"/>
      <x:c r="D388" s="25"/>
      <x:c r="E388" s="25"/>
      <x:c r="F388" s="25"/>
      <x:c r="G388" s="25"/>
      <x:c r="H388" s="25"/>
      <x:c r="I388" s="25"/>
      <x:c r="J388" s="25"/>
      <x:c r="K388" s="25"/>
      <x:c r="L388" s="25"/>
      <x:c r="M388" s="25"/>
      <x:c r="N388" s="25"/>
      <x:c r="O388" s="25"/>
      <x:c r="P388" s="25"/>
      <x:c r="Q388" s="25"/>
      <x:c r="R388" s="25"/>
      <x:c r="S388" s="25"/>
      <x:c r="T388" s="25"/>
      <x:c r="U388" s="25"/>
      <x:c r="V388" s="25"/>
      <x:c r="W388" s="25"/>
      <x:c r="X388" s="25"/>
      <x:c r="Y388" s="25"/>
      <x:c r="Z388" s="25"/>
    </x:row>
    <x:row r="389">
      <x:c r="A389" s="25"/>
      <x:c r="B389" s="25"/>
      <x:c r="C389" s="25"/>
      <x:c r="D389" s="25"/>
      <x:c r="E389" s="25"/>
      <x:c r="F389" s="25"/>
      <x:c r="G389" s="25"/>
      <x:c r="H389" s="25"/>
      <x:c r="I389" s="25"/>
      <x:c r="J389" s="25"/>
      <x:c r="K389" s="25"/>
      <x:c r="L389" s="25"/>
      <x:c r="M389" s="25"/>
      <x:c r="N389" s="25"/>
      <x:c r="O389" s="25"/>
      <x:c r="P389" s="25"/>
      <x:c r="Q389" s="25"/>
      <x:c r="R389" s="25"/>
      <x:c r="S389" s="25"/>
      <x:c r="T389" s="25"/>
      <x:c r="U389" s="25"/>
      <x:c r="V389" s="25"/>
      <x:c r="W389" s="25"/>
      <x:c r="X389" s="25"/>
      <x:c r="Y389" s="25"/>
      <x:c r="Z389" s="25"/>
    </x:row>
    <x:row r="390">
      <x:c r="A390" s="25"/>
      <x:c r="B390" s="25"/>
      <x:c r="C390" s="25"/>
      <x:c r="D390" s="25"/>
      <x:c r="E390" s="25"/>
      <x:c r="F390" s="25"/>
      <x:c r="G390" s="25"/>
      <x:c r="H390" s="25"/>
      <x:c r="I390" s="25"/>
      <x:c r="J390" s="25"/>
      <x:c r="K390" s="25"/>
      <x:c r="L390" s="25"/>
      <x:c r="M390" s="25"/>
      <x:c r="N390" s="25"/>
      <x:c r="O390" s="25"/>
      <x:c r="P390" s="25"/>
      <x:c r="Q390" s="25"/>
      <x:c r="R390" s="25"/>
      <x:c r="S390" s="25"/>
      <x:c r="T390" s="25"/>
      <x:c r="U390" s="25"/>
      <x:c r="V390" s="25"/>
      <x:c r="W390" s="25"/>
      <x:c r="X390" s="25"/>
      <x:c r="Y390" s="25"/>
      <x:c r="Z390" s="25"/>
    </x:row>
    <x:row r="391">
      <x:c r="A391" s="25"/>
      <x:c r="B391" s="25"/>
      <x:c r="C391" s="25"/>
      <x:c r="D391" s="25"/>
      <x:c r="E391" s="25"/>
      <x:c r="F391" s="25"/>
      <x:c r="G391" s="25"/>
      <x:c r="H391" s="25"/>
      <x:c r="I391" s="25"/>
      <x:c r="J391" s="25"/>
      <x:c r="K391" s="25"/>
      <x:c r="L391" s="25"/>
      <x:c r="M391" s="25"/>
      <x:c r="N391" s="25"/>
      <x:c r="O391" s="25"/>
      <x:c r="P391" s="25"/>
      <x:c r="Q391" s="25"/>
      <x:c r="R391" s="25"/>
      <x:c r="S391" s="25"/>
      <x:c r="T391" s="25"/>
      <x:c r="U391" s="25"/>
      <x:c r="V391" s="25"/>
      <x:c r="W391" s="25"/>
      <x:c r="X391" s="25"/>
      <x:c r="Y391" s="25"/>
      <x:c r="Z391" s="25"/>
    </x:row>
    <x:row r="392">
      <x:c r="A392" s="25"/>
      <x:c r="B392" s="25"/>
      <x:c r="C392" s="25"/>
      <x:c r="D392" s="25"/>
      <x:c r="E392" s="25"/>
      <x:c r="F392" s="25"/>
      <x:c r="G392" s="25"/>
      <x:c r="H392" s="25"/>
      <x:c r="I392" s="25"/>
      <x:c r="J392" s="25"/>
      <x:c r="K392" s="25"/>
      <x:c r="L392" s="25"/>
      <x:c r="M392" s="25"/>
      <x:c r="N392" s="25"/>
      <x:c r="O392" s="25"/>
      <x:c r="P392" s="25"/>
      <x:c r="Q392" s="25"/>
      <x:c r="R392" s="25"/>
      <x:c r="S392" s="25"/>
      <x:c r="T392" s="25"/>
      <x:c r="U392" s="25"/>
      <x:c r="V392" s="25"/>
      <x:c r="W392" s="25"/>
      <x:c r="X392" s="25"/>
      <x:c r="Y392" s="25"/>
      <x:c r="Z392" s="25"/>
    </x:row>
    <x:row r="393">
      <x:c r="A393" s="25"/>
      <x:c r="B393" s="25"/>
      <x:c r="C393" s="25"/>
      <x:c r="D393" s="25"/>
      <x:c r="E393" s="25"/>
      <x:c r="F393" s="25"/>
      <x:c r="G393" s="25"/>
      <x:c r="H393" s="25"/>
      <x:c r="I393" s="25"/>
      <x:c r="J393" s="25"/>
      <x:c r="K393" s="25"/>
      <x:c r="L393" s="25"/>
      <x:c r="M393" s="25"/>
      <x:c r="N393" s="25"/>
      <x:c r="O393" s="25"/>
      <x:c r="P393" s="25"/>
      <x:c r="Q393" s="25"/>
      <x:c r="R393" s="25"/>
      <x:c r="S393" s="25"/>
      <x:c r="T393" s="25"/>
      <x:c r="U393" s="25"/>
      <x:c r="V393" s="25"/>
      <x:c r="W393" s="25"/>
      <x:c r="X393" s="25"/>
      <x:c r="Y393" s="25"/>
      <x:c r="Z393" s="25"/>
    </x:row>
    <x:row r="394">
      <x:c r="A394" s="25"/>
      <x:c r="B394" s="25"/>
      <x:c r="C394" s="25"/>
      <x:c r="D394" s="25"/>
      <x:c r="E394" s="25"/>
      <x:c r="F394" s="25"/>
      <x:c r="G394" s="25"/>
      <x:c r="H394" s="25"/>
      <x:c r="I394" s="25"/>
      <x:c r="J394" s="25"/>
      <x:c r="K394" s="25"/>
      <x:c r="L394" s="25"/>
      <x:c r="M394" s="25"/>
      <x:c r="N394" s="25"/>
      <x:c r="O394" s="25"/>
      <x:c r="P394" s="25"/>
      <x:c r="Q394" s="25"/>
      <x:c r="R394" s="25"/>
      <x:c r="S394" s="25"/>
      <x:c r="T394" s="25"/>
      <x:c r="U394" s="25"/>
      <x:c r="V394" s="25"/>
      <x:c r="W394" s="25"/>
      <x:c r="X394" s="25"/>
      <x:c r="Y394" s="25"/>
      <x:c r="Z394" s="25"/>
    </x:row>
    <x:row r="395">
      <x:c r="A395" s="25"/>
      <x:c r="B395" s="25"/>
      <x:c r="C395" s="25"/>
      <x:c r="D395" s="25"/>
      <x:c r="E395" s="25"/>
      <x:c r="F395" s="25"/>
      <x:c r="G395" s="25"/>
      <x:c r="H395" s="25"/>
      <x:c r="I395" s="25"/>
      <x:c r="J395" s="25"/>
      <x:c r="K395" s="25"/>
      <x:c r="L395" s="25"/>
      <x:c r="M395" s="25"/>
      <x:c r="N395" s="25"/>
      <x:c r="O395" s="25"/>
      <x:c r="P395" s="25"/>
      <x:c r="Q395" s="25"/>
      <x:c r="R395" s="25"/>
      <x:c r="S395" s="25"/>
      <x:c r="T395" s="25"/>
      <x:c r="U395" s="25"/>
      <x:c r="V395" s="25"/>
      <x:c r="W395" s="25"/>
      <x:c r="X395" s="25"/>
      <x:c r="Y395" s="25"/>
      <x:c r="Z395" s="25"/>
    </x:row>
    <x:row r="396">
      <x:c r="A396" s="25"/>
      <x:c r="B396" s="25"/>
      <x:c r="C396" s="25"/>
      <x:c r="D396" s="25"/>
      <x:c r="E396" s="25"/>
      <x:c r="F396" s="25"/>
      <x:c r="G396" s="25"/>
      <x:c r="H396" s="25"/>
      <x:c r="I396" s="25"/>
      <x:c r="J396" s="25"/>
      <x:c r="K396" s="25"/>
      <x:c r="L396" s="25"/>
      <x:c r="M396" s="25"/>
      <x:c r="N396" s="25"/>
      <x:c r="O396" s="25"/>
      <x:c r="P396" s="25"/>
      <x:c r="Q396" s="25"/>
      <x:c r="R396" s="25"/>
      <x:c r="S396" s="25"/>
      <x:c r="T396" s="25"/>
      <x:c r="U396" s="25"/>
      <x:c r="V396" s="25"/>
      <x:c r="W396" s="25"/>
      <x:c r="X396" s="25"/>
      <x:c r="Y396" s="25"/>
      <x:c r="Z396" s="25"/>
    </x:row>
    <x:row r="397">
      <x:c r="A397" s="25"/>
      <x:c r="B397" s="25"/>
      <x:c r="C397" s="25"/>
      <x:c r="D397" s="25"/>
      <x:c r="E397" s="25"/>
      <x:c r="F397" s="25"/>
      <x:c r="G397" s="25"/>
      <x:c r="H397" s="25"/>
      <x:c r="I397" s="25"/>
      <x:c r="J397" s="25"/>
      <x:c r="K397" s="25"/>
      <x:c r="L397" s="25"/>
      <x:c r="M397" s="25"/>
      <x:c r="N397" s="25"/>
      <x:c r="O397" s="25"/>
      <x:c r="P397" s="25"/>
      <x:c r="Q397" s="25"/>
      <x:c r="R397" s="25"/>
      <x:c r="S397" s="25"/>
      <x:c r="T397" s="25"/>
      <x:c r="U397" s="25"/>
      <x:c r="V397" s="25"/>
      <x:c r="W397" s="25"/>
      <x:c r="X397" s="25"/>
      <x:c r="Y397" s="25"/>
      <x:c r="Z397" s="25"/>
    </x:row>
    <x:row r="398">
      <x:c r="A398" s="25"/>
      <x:c r="B398" s="25"/>
      <x:c r="C398" s="25"/>
      <x:c r="D398" s="25"/>
      <x:c r="E398" s="25"/>
      <x:c r="F398" s="25"/>
      <x:c r="G398" s="25"/>
      <x:c r="H398" s="25"/>
      <x:c r="I398" s="25"/>
      <x:c r="J398" s="25"/>
      <x:c r="K398" s="25"/>
      <x:c r="L398" s="25"/>
      <x:c r="M398" s="25"/>
      <x:c r="N398" s="25"/>
      <x:c r="O398" s="25"/>
      <x:c r="P398" s="25"/>
      <x:c r="Q398" s="25"/>
      <x:c r="R398" s="25"/>
      <x:c r="S398" s="25"/>
      <x:c r="T398" s="25"/>
      <x:c r="U398" s="25"/>
      <x:c r="V398" s="25"/>
      <x:c r="W398" s="25"/>
      <x:c r="X398" s="25"/>
      <x:c r="Y398" s="25"/>
      <x:c r="Z398" s="25"/>
    </x:row>
    <x:row r="399">
      <x:c r="A399" s="25"/>
      <x:c r="B399" s="25"/>
      <x:c r="C399" s="25"/>
      <x:c r="D399" s="25"/>
      <x:c r="E399" s="25"/>
      <x:c r="F399" s="25"/>
      <x:c r="G399" s="25"/>
      <x:c r="H399" s="25"/>
      <x:c r="I399" s="25"/>
      <x:c r="J399" s="25"/>
      <x:c r="K399" s="25"/>
      <x:c r="L399" s="25"/>
      <x:c r="M399" s="25"/>
      <x:c r="N399" s="25"/>
      <x:c r="O399" s="25"/>
      <x:c r="P399" s="25"/>
      <x:c r="Q399" s="25"/>
      <x:c r="R399" s="25"/>
      <x:c r="S399" s="25"/>
      <x:c r="T399" s="25"/>
      <x:c r="U399" s="25"/>
      <x:c r="V399" s="25"/>
      <x:c r="W399" s="25"/>
      <x:c r="X399" s="25"/>
      <x:c r="Y399" s="25"/>
      <x:c r="Z399" s="25"/>
    </x:row>
    <x:row r="400">
      <x:c r="A400" s="25"/>
      <x:c r="B400" s="25"/>
      <x:c r="C400" s="25"/>
      <x:c r="D400" s="25"/>
      <x:c r="E400" s="25"/>
      <x:c r="F400" s="25"/>
      <x:c r="G400" s="25"/>
      <x:c r="H400" s="25"/>
      <x:c r="I400" s="25"/>
      <x:c r="J400" s="25"/>
      <x:c r="K400" s="25"/>
      <x:c r="L400" s="25"/>
      <x:c r="M400" s="25"/>
      <x:c r="N400" s="25"/>
      <x:c r="O400" s="25"/>
      <x:c r="P400" s="25"/>
      <x:c r="Q400" s="25"/>
      <x:c r="R400" s="25"/>
      <x:c r="S400" s="25"/>
      <x:c r="T400" s="25"/>
      <x:c r="U400" s="25"/>
      <x:c r="V400" s="25"/>
      <x:c r="W400" s="25"/>
      <x:c r="X400" s="25"/>
      <x:c r="Y400" s="25"/>
      <x:c r="Z400" s="25"/>
    </x:row>
    <x:row r="401">
      <x:c r="A401" s="25"/>
      <x:c r="B401" s="25"/>
      <x:c r="C401" s="25"/>
      <x:c r="D401" s="25"/>
      <x:c r="E401" s="25"/>
      <x:c r="F401" s="25"/>
      <x:c r="G401" s="25"/>
      <x:c r="H401" s="25"/>
      <x:c r="I401" s="25"/>
      <x:c r="J401" s="25"/>
      <x:c r="K401" s="25"/>
      <x:c r="L401" s="25"/>
      <x:c r="M401" s="25"/>
      <x:c r="N401" s="25"/>
      <x:c r="O401" s="25"/>
      <x:c r="P401" s="25"/>
      <x:c r="Q401" s="25"/>
      <x:c r="R401" s="25"/>
      <x:c r="S401" s="25"/>
      <x:c r="T401" s="25"/>
      <x:c r="U401" s="25"/>
      <x:c r="V401" s="25"/>
      <x:c r="W401" s="25"/>
      <x:c r="X401" s="25"/>
      <x:c r="Y401" s="25"/>
      <x:c r="Z401" s="25"/>
    </x:row>
    <x:row r="402">
      <x:c r="A402" s="25"/>
      <x:c r="B402" s="25"/>
      <x:c r="C402" s="25"/>
      <x:c r="D402" s="25"/>
      <x:c r="E402" s="25"/>
      <x:c r="F402" s="25"/>
      <x:c r="G402" s="25"/>
      <x:c r="H402" s="25"/>
      <x:c r="I402" s="25"/>
      <x:c r="J402" s="25"/>
      <x:c r="K402" s="25"/>
      <x:c r="L402" s="25"/>
      <x:c r="M402" s="25"/>
      <x:c r="N402" s="25"/>
      <x:c r="O402" s="25"/>
      <x:c r="P402" s="25"/>
      <x:c r="Q402" s="25"/>
      <x:c r="R402" s="25"/>
      <x:c r="S402" s="25"/>
      <x:c r="T402" s="25"/>
      <x:c r="U402" s="25"/>
      <x:c r="V402" s="25"/>
      <x:c r="W402" s="25"/>
      <x:c r="X402" s="25"/>
      <x:c r="Y402" s="25"/>
      <x:c r="Z402" s="25"/>
    </x:row>
    <x:row r="403">
      <x:c r="A403" s="25"/>
      <x:c r="B403" s="25"/>
      <x:c r="C403" s="25"/>
      <x:c r="D403" s="25"/>
      <x:c r="E403" s="25"/>
      <x:c r="F403" s="25"/>
      <x:c r="G403" s="25"/>
      <x:c r="H403" s="25"/>
      <x:c r="I403" s="25"/>
      <x:c r="J403" s="25"/>
      <x:c r="K403" s="25"/>
      <x:c r="L403" s="25"/>
      <x:c r="M403" s="25"/>
      <x:c r="N403" s="25"/>
      <x:c r="O403" s="25"/>
      <x:c r="P403" s="25"/>
      <x:c r="Q403" s="25"/>
      <x:c r="R403" s="25"/>
      <x:c r="S403" s="25"/>
      <x:c r="T403" s="25"/>
      <x:c r="U403" s="25"/>
      <x:c r="V403" s="25"/>
      <x:c r="W403" s="25"/>
      <x:c r="X403" s="25"/>
      <x:c r="Y403" s="25"/>
      <x:c r="Z403" s="25"/>
    </x:row>
    <x:row r="404">
      <x:c r="A404" s="25"/>
      <x:c r="B404" s="25"/>
      <x:c r="C404" s="25"/>
      <x:c r="D404" s="25"/>
      <x:c r="E404" s="25"/>
      <x:c r="F404" s="25"/>
      <x:c r="G404" s="25"/>
      <x:c r="H404" s="25"/>
      <x:c r="I404" s="25"/>
      <x:c r="J404" s="25"/>
      <x:c r="K404" s="25"/>
      <x:c r="L404" s="25"/>
      <x:c r="M404" s="25"/>
      <x:c r="N404" s="25"/>
      <x:c r="O404" s="25"/>
      <x:c r="P404" s="25"/>
      <x:c r="Q404" s="25"/>
      <x:c r="R404" s="25"/>
      <x:c r="S404" s="25"/>
      <x:c r="T404" s="25"/>
      <x:c r="U404" s="25"/>
      <x:c r="V404" s="25"/>
      <x:c r="W404" s="25"/>
      <x:c r="X404" s="25"/>
      <x:c r="Y404" s="25"/>
      <x:c r="Z404" s="25"/>
    </x:row>
    <x:row r="405">
      <x:c r="A405" s="25"/>
      <x:c r="B405" s="25"/>
      <x:c r="C405" s="25"/>
      <x:c r="D405" s="25"/>
      <x:c r="E405" s="25"/>
      <x:c r="F405" s="25"/>
      <x:c r="G405" s="25"/>
      <x:c r="H405" s="25"/>
      <x:c r="I405" s="25"/>
      <x:c r="J405" s="25"/>
      <x:c r="K405" s="25"/>
      <x:c r="L405" s="25"/>
      <x:c r="M405" s="25"/>
      <x:c r="N405" s="25"/>
      <x:c r="O405" s="25"/>
      <x:c r="P405" s="25"/>
      <x:c r="Q405" s="25"/>
      <x:c r="R405" s="25"/>
      <x:c r="S405" s="25"/>
      <x:c r="T405" s="25"/>
      <x:c r="U405" s="25"/>
      <x:c r="V405" s="25"/>
      <x:c r="W405" s="25"/>
      <x:c r="X405" s="25"/>
      <x:c r="Y405" s="25"/>
      <x:c r="Z405" s="25"/>
    </x:row>
    <x:row r="406">
      <x:c r="A406" s="25"/>
      <x:c r="B406" s="25"/>
      <x:c r="C406" s="25"/>
      <x:c r="D406" s="25"/>
      <x:c r="E406" s="25"/>
      <x:c r="F406" s="25"/>
      <x:c r="G406" s="25"/>
      <x:c r="H406" s="25"/>
      <x:c r="I406" s="25"/>
      <x:c r="J406" s="25"/>
      <x:c r="K406" s="25"/>
      <x:c r="L406" s="25"/>
      <x:c r="M406" s="25"/>
      <x:c r="N406" s="25"/>
      <x:c r="O406" s="25"/>
      <x:c r="P406" s="25"/>
      <x:c r="Q406" s="25"/>
      <x:c r="R406" s="25"/>
      <x:c r="S406" s="25"/>
      <x:c r="T406" s="25"/>
      <x:c r="U406" s="25"/>
      <x:c r="V406" s="25"/>
      <x:c r="W406" s="25"/>
      <x:c r="X406" s="25"/>
      <x:c r="Y406" s="25"/>
      <x:c r="Z406" s="25"/>
    </x:row>
    <x:row r="407">
      <x:c r="A407" s="25"/>
      <x:c r="B407" s="25"/>
      <x:c r="C407" s="25"/>
      <x:c r="D407" s="25"/>
      <x:c r="E407" s="25"/>
      <x:c r="F407" s="25"/>
      <x:c r="G407" s="25"/>
      <x:c r="H407" s="25"/>
      <x:c r="I407" s="25"/>
      <x:c r="J407" s="25"/>
      <x:c r="K407" s="25"/>
      <x:c r="L407" s="25"/>
      <x:c r="M407" s="25"/>
      <x:c r="N407" s="25"/>
      <x:c r="O407" s="25"/>
      <x:c r="P407" s="25"/>
      <x:c r="Q407" s="25"/>
      <x:c r="R407" s="25"/>
      <x:c r="S407" s="25"/>
      <x:c r="T407" s="25"/>
      <x:c r="U407" s="25"/>
      <x:c r="V407" s="25"/>
      <x:c r="W407" s="25"/>
      <x:c r="X407" s="25"/>
      <x:c r="Y407" s="25"/>
      <x:c r="Z407" s="25"/>
    </x:row>
    <x:row r="408">
      <x:c r="A408" s="25"/>
      <x:c r="B408" s="25"/>
      <x:c r="C408" s="25"/>
      <x:c r="D408" s="25"/>
      <x:c r="E408" s="25"/>
      <x:c r="F408" s="25"/>
      <x:c r="G408" s="25"/>
      <x:c r="H408" s="25"/>
      <x:c r="I408" s="25"/>
      <x:c r="J408" s="25"/>
      <x:c r="K408" s="25"/>
      <x:c r="L408" s="25"/>
      <x:c r="M408" s="25"/>
      <x:c r="N408" s="25"/>
      <x:c r="O408" s="25"/>
      <x:c r="P408" s="25"/>
      <x:c r="Q408" s="25"/>
      <x:c r="R408" s="25"/>
      <x:c r="S408" s="25"/>
      <x:c r="T408" s="25"/>
      <x:c r="U408" s="25"/>
      <x:c r="V408" s="25"/>
      <x:c r="W408" s="25"/>
      <x:c r="X408" s="25"/>
      <x:c r="Y408" s="25"/>
      <x:c r="Z408" s="25"/>
    </x:row>
    <x:row r="409">
      <x:c r="A409" s="25"/>
      <x:c r="B409" s="25"/>
      <x:c r="C409" s="25"/>
      <x:c r="D409" s="25"/>
      <x:c r="E409" s="25"/>
      <x:c r="F409" s="25"/>
      <x:c r="G409" s="25"/>
      <x:c r="H409" s="25"/>
      <x:c r="I409" s="25"/>
      <x:c r="J409" s="25"/>
      <x:c r="K409" s="25"/>
      <x:c r="L409" s="25"/>
      <x:c r="M409" s="25"/>
      <x:c r="N409" s="25"/>
      <x:c r="O409" s="25"/>
      <x:c r="P409" s="25"/>
      <x:c r="Q409" s="25"/>
      <x:c r="R409" s="25"/>
      <x:c r="S409" s="25"/>
      <x:c r="T409" s="25"/>
      <x:c r="U409" s="25"/>
      <x:c r="V409" s="25"/>
      <x:c r="W409" s="25"/>
      <x:c r="X409" s="25"/>
      <x:c r="Y409" s="25"/>
      <x:c r="Z409" s="25"/>
    </x:row>
    <x:row r="410">
      <x:c r="A410" s="25"/>
      <x:c r="B410" s="25"/>
      <x:c r="C410" s="25"/>
      <x:c r="D410" s="25"/>
      <x:c r="E410" s="25"/>
      <x:c r="F410" s="25"/>
      <x:c r="G410" s="25"/>
      <x:c r="H410" s="25"/>
      <x:c r="I410" s="25"/>
      <x:c r="J410" s="25"/>
      <x:c r="K410" s="25"/>
      <x:c r="L410" s="25"/>
      <x:c r="M410" s="25"/>
      <x:c r="N410" s="25"/>
      <x:c r="O410" s="25"/>
      <x:c r="P410" s="25"/>
      <x:c r="Q410" s="25"/>
      <x:c r="R410" s="25"/>
      <x:c r="S410" s="25"/>
      <x:c r="T410" s="25"/>
      <x:c r="U410" s="25"/>
      <x:c r="V410" s="25"/>
      <x:c r="W410" s="25"/>
      <x:c r="X410" s="25"/>
      <x:c r="Y410" s="25"/>
      <x:c r="Z410" s="25"/>
    </x:row>
    <x:row r="411">
      <x:c r="A411" s="25"/>
      <x:c r="B411" s="25"/>
      <x:c r="C411" s="25"/>
      <x:c r="D411" s="25"/>
      <x:c r="E411" s="25"/>
      <x:c r="F411" s="25"/>
      <x:c r="G411" s="25"/>
      <x:c r="H411" s="25"/>
      <x:c r="I411" s="25"/>
      <x:c r="J411" s="25"/>
      <x:c r="K411" s="25"/>
      <x:c r="L411" s="25"/>
      <x:c r="M411" s="25"/>
      <x:c r="N411" s="25"/>
      <x:c r="O411" s="25"/>
      <x:c r="P411" s="25"/>
      <x:c r="Q411" s="25"/>
      <x:c r="R411" s="25"/>
      <x:c r="S411" s="25"/>
      <x:c r="T411" s="25"/>
      <x:c r="U411" s="25"/>
      <x:c r="V411" s="25"/>
      <x:c r="W411" s="25"/>
      <x:c r="X411" s="25"/>
      <x:c r="Y411" s="25"/>
      <x:c r="Z411" s="25"/>
    </x:row>
    <x:row r="412">
      <x:c r="A412" s="25"/>
      <x:c r="B412" s="25"/>
      <x:c r="C412" s="25"/>
      <x:c r="D412" s="25"/>
      <x:c r="E412" s="25"/>
      <x:c r="F412" s="25"/>
      <x:c r="G412" s="25"/>
      <x:c r="H412" s="25"/>
      <x:c r="I412" s="25"/>
      <x:c r="J412" s="25"/>
      <x:c r="K412" s="25"/>
      <x:c r="L412" s="25"/>
      <x:c r="M412" s="25"/>
      <x:c r="N412" s="25"/>
      <x:c r="O412" s="25"/>
      <x:c r="P412" s="25"/>
      <x:c r="Q412" s="25"/>
      <x:c r="R412" s="25"/>
      <x:c r="S412" s="25"/>
      <x:c r="T412" s="25"/>
      <x:c r="U412" s="25"/>
      <x:c r="V412" s="25"/>
      <x:c r="W412" s="25"/>
      <x:c r="X412" s="25"/>
      <x:c r="Y412" s="25"/>
      <x:c r="Z412" s="25"/>
    </x:row>
    <x:row r="413">
      <x:c r="A413" s="25"/>
      <x:c r="B413" s="25"/>
      <x:c r="C413" s="25"/>
      <x:c r="D413" s="25"/>
      <x:c r="E413" s="25"/>
      <x:c r="F413" s="25"/>
      <x:c r="G413" s="25"/>
      <x:c r="H413" s="25"/>
      <x:c r="I413" s="25"/>
      <x:c r="J413" s="25"/>
      <x:c r="K413" s="25"/>
      <x:c r="L413" s="25"/>
      <x:c r="M413" s="25"/>
      <x:c r="N413" s="25"/>
      <x:c r="O413" s="25"/>
      <x:c r="P413" s="25"/>
      <x:c r="Q413" s="25"/>
      <x:c r="R413" s="25"/>
      <x:c r="S413" s="25"/>
      <x:c r="T413" s="25"/>
      <x:c r="U413" s="25"/>
      <x:c r="V413" s="25"/>
      <x:c r="W413" s="25"/>
      <x:c r="X413" s="25"/>
      <x:c r="Y413" s="25"/>
      <x:c r="Z413" s="25"/>
    </x:row>
    <x:row r="414">
      <x:c r="A414" s="25"/>
      <x:c r="B414" s="25"/>
      <x:c r="C414" s="25"/>
      <x:c r="D414" s="25"/>
      <x:c r="E414" s="25"/>
      <x:c r="F414" s="25"/>
      <x:c r="G414" s="25"/>
      <x:c r="H414" s="25"/>
      <x:c r="I414" s="25"/>
      <x:c r="J414" s="25"/>
      <x:c r="K414" s="25"/>
      <x:c r="L414" s="25"/>
      <x:c r="M414" s="25"/>
      <x:c r="N414" s="25"/>
      <x:c r="O414" s="25"/>
      <x:c r="P414" s="25"/>
      <x:c r="Q414" s="25"/>
      <x:c r="R414" s="25"/>
      <x:c r="S414" s="25"/>
      <x:c r="T414" s="25"/>
      <x:c r="U414" s="25"/>
      <x:c r="V414" s="25"/>
      <x:c r="W414" s="25"/>
      <x:c r="X414" s="25"/>
      <x:c r="Y414" s="25"/>
      <x:c r="Z414" s="25"/>
    </x:row>
    <x:row r="415">
      <x:c r="A415" s="25"/>
      <x:c r="B415" s="25"/>
      <x:c r="C415" s="25"/>
      <x:c r="D415" s="25"/>
      <x:c r="E415" s="25"/>
      <x:c r="F415" s="25"/>
      <x:c r="G415" s="25"/>
      <x:c r="H415" s="25"/>
      <x:c r="I415" s="25"/>
      <x:c r="J415" s="25"/>
      <x:c r="K415" s="25"/>
      <x:c r="L415" s="25"/>
      <x:c r="M415" s="25"/>
      <x:c r="N415" s="25"/>
      <x:c r="O415" s="25"/>
      <x:c r="P415" s="25"/>
      <x:c r="Q415" s="25"/>
      <x:c r="R415" s="25"/>
      <x:c r="S415" s="25"/>
      <x:c r="T415" s="25"/>
      <x:c r="U415" s="25"/>
      <x:c r="V415" s="25"/>
      <x:c r="W415" s="25"/>
      <x:c r="X415" s="25"/>
      <x:c r="Y415" s="25"/>
      <x:c r="Z415" s="25"/>
    </x:row>
    <x:row r="416">
      <x:c r="A416" s="25"/>
      <x:c r="B416" s="25"/>
      <x:c r="C416" s="25"/>
      <x:c r="D416" s="25"/>
      <x:c r="E416" s="25"/>
      <x:c r="F416" s="25"/>
      <x:c r="G416" s="25"/>
      <x:c r="H416" s="25"/>
      <x:c r="I416" s="25"/>
      <x:c r="J416" s="25"/>
      <x:c r="K416" s="25"/>
      <x:c r="L416" s="25"/>
      <x:c r="M416" s="25"/>
      <x:c r="N416" s="25"/>
      <x:c r="O416" s="25"/>
      <x:c r="P416" s="25"/>
      <x:c r="Q416" s="25"/>
      <x:c r="R416" s="25"/>
      <x:c r="S416" s="25"/>
      <x:c r="T416" s="25"/>
      <x:c r="U416" s="25"/>
      <x:c r="V416" s="25"/>
      <x:c r="W416" s="25"/>
      <x:c r="X416" s="25"/>
      <x:c r="Y416" s="25"/>
      <x:c r="Z416" s="25"/>
    </x:row>
    <x:row r="417">
      <x:c r="A417" s="25"/>
      <x:c r="B417" s="25"/>
      <x:c r="C417" s="25"/>
      <x:c r="D417" s="25"/>
      <x:c r="E417" s="25"/>
      <x:c r="F417" s="25"/>
      <x:c r="G417" s="25"/>
      <x:c r="H417" s="25"/>
      <x:c r="I417" s="25"/>
      <x:c r="J417" s="25"/>
      <x:c r="K417" s="25"/>
      <x:c r="L417" s="25"/>
      <x:c r="M417" s="25"/>
      <x:c r="N417" s="25"/>
      <x:c r="O417" s="25"/>
      <x:c r="P417" s="25"/>
      <x:c r="Q417" s="25"/>
      <x:c r="R417" s="25"/>
      <x:c r="S417" s="25"/>
      <x:c r="T417" s="25"/>
      <x:c r="U417" s="25"/>
      <x:c r="V417" s="25"/>
      <x:c r="W417" s="25"/>
      <x:c r="X417" s="25"/>
      <x:c r="Y417" s="25"/>
      <x:c r="Z417" s="25"/>
    </x:row>
    <x:row r="418">
      <x:c r="A418" s="25"/>
      <x:c r="B418" s="25"/>
      <x:c r="C418" s="25"/>
      <x:c r="D418" s="25"/>
      <x:c r="E418" s="25"/>
      <x:c r="F418" s="25"/>
      <x:c r="G418" s="25"/>
      <x:c r="H418" s="25"/>
      <x:c r="I418" s="25"/>
      <x:c r="J418" s="25"/>
      <x:c r="K418" s="25"/>
      <x:c r="L418" s="25"/>
      <x:c r="M418" s="25"/>
      <x:c r="N418" s="25"/>
      <x:c r="O418" s="25"/>
      <x:c r="P418" s="25"/>
      <x:c r="Q418" s="25"/>
      <x:c r="R418" s="25"/>
      <x:c r="S418" s="25"/>
      <x:c r="T418" s="25"/>
      <x:c r="U418" s="25"/>
      <x:c r="V418" s="25"/>
      <x:c r="W418" s="25"/>
      <x:c r="X418" s="25"/>
      <x:c r="Y418" s="25"/>
      <x:c r="Z418" s="25"/>
    </x:row>
    <x:row r="419">
      <x:c r="A419" s="25"/>
      <x:c r="B419" s="25"/>
      <x:c r="C419" s="25"/>
      <x:c r="D419" s="25"/>
      <x:c r="E419" s="25"/>
      <x:c r="F419" s="25"/>
      <x:c r="G419" s="25"/>
      <x:c r="H419" s="25"/>
      <x:c r="I419" s="25"/>
      <x:c r="J419" s="25"/>
      <x:c r="K419" s="25"/>
      <x:c r="L419" s="25"/>
      <x:c r="M419" s="25"/>
      <x:c r="N419" s="25"/>
      <x:c r="O419" s="25"/>
      <x:c r="P419" s="25"/>
      <x:c r="Q419" s="25"/>
      <x:c r="R419" s="25"/>
      <x:c r="S419" s="25"/>
      <x:c r="T419" s="25"/>
      <x:c r="U419" s="25"/>
      <x:c r="V419" s="25"/>
      <x:c r="W419" s="25"/>
      <x:c r="X419" s="25"/>
      <x:c r="Y419" s="25"/>
      <x:c r="Z419" s="25"/>
    </x:row>
    <x:row r="420">
      <x:c r="A420" s="25"/>
      <x:c r="B420" s="25"/>
      <x:c r="C420" s="25"/>
      <x:c r="D420" s="25"/>
      <x:c r="E420" s="25"/>
      <x:c r="F420" s="25"/>
      <x:c r="G420" s="25"/>
      <x:c r="H420" s="25"/>
      <x:c r="I420" s="25"/>
      <x:c r="J420" s="25"/>
      <x:c r="K420" s="25"/>
      <x:c r="L420" s="25"/>
      <x:c r="M420" s="25"/>
      <x:c r="N420" s="25"/>
      <x:c r="O420" s="25"/>
      <x:c r="P420" s="25"/>
      <x:c r="Q420" s="25"/>
      <x:c r="R420" s="25"/>
      <x:c r="S420" s="25"/>
      <x:c r="T420" s="25"/>
      <x:c r="U420" s="25"/>
      <x:c r="V420" s="25"/>
      <x:c r="W420" s="25"/>
      <x:c r="X420" s="25"/>
      <x:c r="Y420" s="25"/>
      <x:c r="Z420" s="25"/>
    </x:row>
    <x:row r="421">
      <x:c r="A421" s="25"/>
      <x:c r="B421" s="25"/>
      <x:c r="C421" s="25"/>
      <x:c r="D421" s="25"/>
      <x:c r="E421" s="25"/>
      <x:c r="F421" s="25"/>
      <x:c r="G421" s="25"/>
      <x:c r="H421" s="25"/>
      <x:c r="I421" s="25"/>
      <x:c r="J421" s="25"/>
      <x:c r="K421" s="25"/>
      <x:c r="L421" s="25"/>
      <x:c r="M421" s="25"/>
      <x:c r="N421" s="25"/>
      <x:c r="O421" s="25"/>
      <x:c r="P421" s="25"/>
      <x:c r="Q421" s="25"/>
      <x:c r="R421" s="25"/>
      <x:c r="S421" s="25"/>
      <x:c r="T421" s="25"/>
      <x:c r="U421" s="25"/>
      <x:c r="V421" s="25"/>
      <x:c r="W421" s="25"/>
      <x:c r="X421" s="25"/>
      <x:c r="Y421" s="25"/>
      <x:c r="Z421" s="25"/>
    </x:row>
    <x:row r="422">
      <x:c r="A422" s="25"/>
      <x:c r="B422" s="25"/>
      <x:c r="C422" s="25"/>
      <x:c r="D422" s="25"/>
      <x:c r="E422" s="25"/>
      <x:c r="F422" s="25"/>
      <x:c r="G422" s="25"/>
      <x:c r="H422" s="25"/>
      <x:c r="I422" s="25"/>
      <x:c r="J422" s="25"/>
      <x:c r="K422" s="25"/>
      <x:c r="L422" s="25"/>
      <x:c r="M422" s="25"/>
      <x:c r="N422" s="25"/>
      <x:c r="O422" s="25"/>
      <x:c r="P422" s="25"/>
      <x:c r="Q422" s="25"/>
      <x:c r="R422" s="25"/>
      <x:c r="S422" s="25"/>
      <x:c r="T422" s="25"/>
      <x:c r="U422" s="25"/>
      <x:c r="V422" s="25"/>
      <x:c r="W422" s="25"/>
      <x:c r="X422" s="25"/>
      <x:c r="Y422" s="25"/>
      <x:c r="Z422" s="25"/>
    </x:row>
    <x:row r="423">
      <x:c r="A423" s="25"/>
      <x:c r="B423" s="25"/>
      <x:c r="C423" s="25"/>
      <x:c r="D423" s="25"/>
      <x:c r="E423" s="25"/>
      <x:c r="F423" s="25"/>
      <x:c r="G423" s="25"/>
      <x:c r="H423" s="25"/>
      <x:c r="I423" s="25"/>
      <x:c r="J423" s="25"/>
      <x:c r="K423" s="25"/>
      <x:c r="L423" s="25"/>
      <x:c r="M423" s="25"/>
      <x:c r="N423" s="25"/>
      <x:c r="O423" s="25"/>
      <x:c r="P423" s="25"/>
      <x:c r="Q423" s="25"/>
      <x:c r="R423" s="25"/>
      <x:c r="S423" s="25"/>
      <x:c r="T423" s="25"/>
      <x:c r="U423" s="25"/>
      <x:c r="V423" s="25"/>
      <x:c r="W423" s="25"/>
      <x:c r="X423" s="25"/>
      <x:c r="Y423" s="25"/>
      <x:c r="Z423" s="25"/>
    </x:row>
    <x:row r="424">
      <x:c r="A424" s="25"/>
      <x:c r="B424" s="25"/>
      <x:c r="C424" s="25"/>
      <x:c r="D424" s="25"/>
      <x:c r="E424" s="25"/>
      <x:c r="F424" s="25"/>
      <x:c r="G424" s="25"/>
      <x:c r="H424" s="25"/>
      <x:c r="I424" s="25"/>
      <x:c r="J424" s="25"/>
      <x:c r="K424" s="25"/>
      <x:c r="L424" s="25"/>
      <x:c r="M424" s="25"/>
      <x:c r="N424" s="25"/>
      <x:c r="O424" s="25"/>
      <x:c r="P424" s="25"/>
      <x:c r="Q424" s="25"/>
      <x:c r="R424" s="25"/>
      <x:c r="S424" s="25"/>
      <x:c r="T424" s="25"/>
      <x:c r="U424" s="25"/>
      <x:c r="V424" s="25"/>
      <x:c r="W424" s="25"/>
      <x:c r="X424" s="25"/>
      <x:c r="Y424" s="25"/>
      <x:c r="Z424" s="25"/>
    </x:row>
    <x:row r="425">
      <x:c r="A425" s="25"/>
      <x:c r="B425" s="25"/>
      <x:c r="C425" s="25"/>
      <x:c r="D425" s="25"/>
      <x:c r="E425" s="25"/>
      <x:c r="F425" s="25"/>
      <x:c r="G425" s="25"/>
      <x:c r="H425" s="25"/>
      <x:c r="I425" s="25"/>
      <x:c r="J425" s="25"/>
      <x:c r="K425" s="25"/>
      <x:c r="L425" s="25"/>
      <x:c r="M425" s="25"/>
      <x:c r="N425" s="25"/>
      <x:c r="O425" s="25"/>
      <x:c r="P425" s="25"/>
      <x:c r="Q425" s="25"/>
      <x:c r="R425" s="25"/>
      <x:c r="S425" s="25"/>
      <x:c r="T425" s="25"/>
      <x:c r="U425" s="25"/>
      <x:c r="V425" s="25"/>
      <x:c r="W425" s="25"/>
      <x:c r="X425" s="25"/>
      <x:c r="Y425" s="25"/>
      <x:c r="Z425" s="25"/>
    </x:row>
    <x:row r="426">
      <x:c r="A426" s="25"/>
      <x:c r="B426" s="25"/>
      <x:c r="C426" s="25"/>
      <x:c r="D426" s="25"/>
      <x:c r="E426" s="25"/>
      <x:c r="F426" s="25"/>
      <x:c r="G426" s="25"/>
      <x:c r="H426" s="25"/>
      <x:c r="I426" s="25"/>
      <x:c r="J426" s="25"/>
      <x:c r="K426" s="25"/>
      <x:c r="L426" s="25"/>
      <x:c r="M426" s="25"/>
      <x:c r="N426" s="25"/>
      <x:c r="O426" s="25"/>
      <x:c r="P426" s="25"/>
      <x:c r="Q426" s="25"/>
      <x:c r="R426" s="25"/>
      <x:c r="S426" s="25"/>
      <x:c r="T426" s="25"/>
      <x:c r="U426" s="25"/>
      <x:c r="V426" s="25"/>
      <x:c r="W426" s="25"/>
      <x:c r="X426" s="25"/>
      <x:c r="Y426" s="25"/>
      <x:c r="Z426" s="25"/>
    </x:row>
    <x:row r="427">
      <x:c r="A427" s="25"/>
      <x:c r="B427" s="25"/>
      <x:c r="C427" s="25"/>
      <x:c r="D427" s="25"/>
      <x:c r="E427" s="25"/>
      <x:c r="F427" s="25"/>
      <x:c r="G427" s="25"/>
      <x:c r="H427" s="25"/>
      <x:c r="I427" s="25"/>
      <x:c r="J427" s="25"/>
      <x:c r="K427" s="25"/>
      <x:c r="L427" s="25"/>
      <x:c r="M427" s="25"/>
      <x:c r="N427" s="25"/>
      <x:c r="O427" s="25"/>
      <x:c r="P427" s="25"/>
      <x:c r="Q427" s="25"/>
      <x:c r="R427" s="25"/>
      <x:c r="S427" s="25"/>
      <x:c r="T427" s="25"/>
      <x:c r="U427" s="25"/>
      <x:c r="V427" s="25"/>
      <x:c r="W427" s="25"/>
      <x:c r="X427" s="25"/>
      <x:c r="Y427" s="25"/>
      <x:c r="Z427" s="25"/>
    </x:row>
    <x:row r="428">
      <x:c r="A428" s="25"/>
      <x:c r="B428" s="25"/>
      <x:c r="C428" s="25"/>
      <x:c r="D428" s="25"/>
      <x:c r="E428" s="25"/>
      <x:c r="F428" s="25"/>
      <x:c r="G428" s="25"/>
      <x:c r="H428" s="25"/>
      <x:c r="I428" s="25"/>
      <x:c r="J428" s="25"/>
      <x:c r="K428" s="25"/>
      <x:c r="L428" s="25"/>
      <x:c r="M428" s="25"/>
      <x:c r="N428" s="25"/>
      <x:c r="O428" s="25"/>
      <x:c r="P428" s="25"/>
      <x:c r="Q428" s="25"/>
      <x:c r="R428" s="25"/>
      <x:c r="S428" s="25"/>
      <x:c r="T428" s="25"/>
      <x:c r="U428" s="25"/>
      <x:c r="V428" s="25"/>
      <x:c r="W428" s="25"/>
      <x:c r="X428" s="25"/>
      <x:c r="Y428" s="25"/>
      <x:c r="Z428" s="25"/>
    </x:row>
    <x:row r="429">
      <x:c r="A429" s="25"/>
      <x:c r="B429" s="25"/>
      <x:c r="C429" s="25"/>
      <x:c r="D429" s="25"/>
      <x:c r="E429" s="25"/>
      <x:c r="F429" s="25"/>
      <x:c r="G429" s="25"/>
      <x:c r="H429" s="25"/>
      <x:c r="I429" s="25"/>
      <x:c r="J429" s="25"/>
      <x:c r="K429" s="25"/>
      <x:c r="L429" s="25"/>
      <x:c r="M429" s="25"/>
      <x:c r="N429" s="25"/>
      <x:c r="O429" s="25"/>
      <x:c r="P429" s="25"/>
      <x:c r="Q429" s="25"/>
      <x:c r="R429" s="25"/>
      <x:c r="S429" s="25"/>
      <x:c r="T429" s="25"/>
      <x:c r="U429" s="25"/>
      <x:c r="V429" s="25"/>
      <x:c r="W429" s="25"/>
      <x:c r="X429" s="25"/>
      <x:c r="Y429" s="25"/>
      <x:c r="Z429" s="25"/>
    </x:row>
    <x:row r="430">
      <x:c r="A430" s="25"/>
      <x:c r="B430" s="25"/>
      <x:c r="C430" s="25"/>
      <x:c r="D430" s="25"/>
      <x:c r="E430" s="25"/>
      <x:c r="F430" s="25"/>
      <x:c r="G430" s="25"/>
      <x:c r="H430" s="25"/>
      <x:c r="I430" s="25"/>
      <x:c r="J430" s="25"/>
      <x:c r="K430" s="25"/>
      <x:c r="L430" s="25"/>
      <x:c r="M430" s="25"/>
      <x:c r="N430" s="25"/>
      <x:c r="O430" s="25"/>
      <x:c r="P430" s="25"/>
      <x:c r="Q430" s="25"/>
      <x:c r="R430" s="25"/>
      <x:c r="S430" s="25"/>
      <x:c r="T430" s="25"/>
      <x:c r="U430" s="25"/>
      <x:c r="V430" s="25"/>
      <x:c r="W430" s="25"/>
      <x:c r="X430" s="25"/>
      <x:c r="Y430" s="25"/>
      <x:c r="Z430" s="25"/>
    </x:row>
    <x:row r="431">
      <x:c r="A431" s="25"/>
      <x:c r="B431" s="25"/>
      <x:c r="C431" s="25"/>
      <x:c r="D431" s="25"/>
      <x:c r="E431" s="25"/>
      <x:c r="F431" s="25"/>
      <x:c r="G431" s="25"/>
      <x:c r="H431" s="25"/>
      <x:c r="I431" s="25"/>
      <x:c r="J431" s="25"/>
      <x:c r="K431" s="25"/>
      <x:c r="L431" s="25"/>
      <x:c r="M431" s="25"/>
      <x:c r="N431" s="25"/>
      <x:c r="O431" s="25"/>
      <x:c r="P431" s="25"/>
      <x:c r="Q431" s="25"/>
      <x:c r="R431" s="25"/>
      <x:c r="S431" s="25"/>
      <x:c r="T431" s="25"/>
      <x:c r="U431" s="25"/>
      <x:c r="V431" s="25"/>
      <x:c r="W431" s="25"/>
      <x:c r="X431" s="25"/>
      <x:c r="Y431" s="25"/>
      <x:c r="Z431" s="25"/>
    </x:row>
    <x:row r="432">
      <x:c r="A432" s="25"/>
      <x:c r="B432" s="25"/>
      <x:c r="C432" s="25"/>
      <x:c r="D432" s="25"/>
      <x:c r="E432" s="25"/>
      <x:c r="F432" s="25"/>
      <x:c r="G432" s="25"/>
      <x:c r="H432" s="25"/>
      <x:c r="I432" s="25"/>
      <x:c r="J432" s="25"/>
      <x:c r="K432" s="25"/>
      <x:c r="L432" s="25"/>
      <x:c r="M432" s="25"/>
      <x:c r="N432" s="25"/>
      <x:c r="O432" s="25"/>
      <x:c r="P432" s="25"/>
      <x:c r="Q432" s="25"/>
      <x:c r="R432" s="25"/>
      <x:c r="S432" s="25"/>
      <x:c r="T432" s="25"/>
      <x:c r="U432" s="25"/>
      <x:c r="V432" s="25"/>
      <x:c r="W432" s="25"/>
      <x:c r="X432" s="25"/>
      <x:c r="Y432" s="25"/>
      <x:c r="Z432" s="25"/>
    </x:row>
    <x:row r="433">
      <x:c r="A433" s="25"/>
      <x:c r="B433" s="25"/>
      <x:c r="C433" s="25"/>
      <x:c r="D433" s="25"/>
      <x:c r="E433" s="25"/>
      <x:c r="F433" s="25"/>
      <x:c r="G433" s="25"/>
      <x:c r="H433" s="25"/>
      <x:c r="I433" s="25"/>
      <x:c r="J433" s="25"/>
      <x:c r="K433" s="25"/>
      <x:c r="L433" s="25"/>
      <x:c r="M433" s="25"/>
      <x:c r="N433" s="25"/>
      <x:c r="O433" s="25"/>
      <x:c r="P433" s="25"/>
      <x:c r="Q433" s="25"/>
      <x:c r="R433" s="25"/>
      <x:c r="S433" s="25"/>
      <x:c r="T433" s="25"/>
      <x:c r="U433" s="25"/>
      <x:c r="V433" s="25"/>
      <x:c r="W433" s="25"/>
      <x:c r="X433" s="25"/>
      <x:c r="Y433" s="25"/>
      <x:c r="Z433" s="25"/>
    </x:row>
    <x:row r="434">
      <x:c r="A434" s="25"/>
      <x:c r="B434" s="25"/>
      <x:c r="C434" s="25"/>
      <x:c r="D434" s="25"/>
      <x:c r="E434" s="25"/>
      <x:c r="F434" s="25"/>
      <x:c r="G434" s="25"/>
      <x:c r="H434" s="25"/>
      <x:c r="I434" s="25"/>
      <x:c r="J434" s="25"/>
      <x:c r="K434" s="25"/>
      <x:c r="L434" s="25"/>
      <x:c r="M434" s="25"/>
      <x:c r="N434" s="25"/>
      <x:c r="O434" s="25"/>
      <x:c r="P434" s="25"/>
      <x:c r="Q434" s="25"/>
      <x:c r="R434" s="25"/>
      <x:c r="S434" s="25"/>
      <x:c r="T434" s="25"/>
      <x:c r="U434" s="25"/>
      <x:c r="V434" s="25"/>
      <x:c r="W434" s="25"/>
      <x:c r="X434" s="25"/>
      <x:c r="Y434" s="25"/>
      <x:c r="Z434" s="25"/>
    </x:row>
    <x:row r="435">
      <x:c r="A435" s="25"/>
      <x:c r="B435" s="25"/>
      <x:c r="C435" s="25"/>
      <x:c r="D435" s="25"/>
      <x:c r="E435" s="25"/>
      <x:c r="F435" s="25"/>
      <x:c r="G435" s="25"/>
      <x:c r="H435" s="25"/>
      <x:c r="I435" s="25"/>
      <x:c r="J435" s="25"/>
      <x:c r="K435" s="25"/>
      <x:c r="L435" s="25"/>
      <x:c r="M435" s="25"/>
      <x:c r="N435" s="25"/>
      <x:c r="O435" s="25"/>
      <x:c r="P435" s="25"/>
      <x:c r="Q435" s="25"/>
      <x:c r="R435" s="25"/>
      <x:c r="S435" s="25"/>
      <x:c r="T435" s="25"/>
      <x:c r="U435" s="25"/>
      <x:c r="V435" s="25"/>
      <x:c r="W435" s="25"/>
      <x:c r="X435" s="25"/>
      <x:c r="Y435" s="25"/>
      <x:c r="Z435" s="25"/>
    </x:row>
    <x:row r="436">
      <x:c r="A436" s="25"/>
      <x:c r="B436" s="25"/>
      <x:c r="C436" s="25"/>
      <x:c r="D436" s="25"/>
      <x:c r="E436" s="25"/>
      <x:c r="F436" s="25"/>
      <x:c r="G436" s="25"/>
      <x:c r="H436" s="25"/>
      <x:c r="I436" s="25"/>
      <x:c r="J436" s="25"/>
      <x:c r="K436" s="25"/>
      <x:c r="L436" s="25"/>
      <x:c r="M436" s="25"/>
      <x:c r="N436" s="25"/>
      <x:c r="O436" s="25"/>
      <x:c r="P436" s="25"/>
      <x:c r="Q436" s="25"/>
      <x:c r="R436" s="25"/>
      <x:c r="S436" s="25"/>
      <x:c r="T436" s="25"/>
      <x:c r="U436" s="25"/>
      <x:c r="V436" s="25"/>
      <x:c r="W436" s="25"/>
      <x:c r="X436" s="25"/>
      <x:c r="Y436" s="25"/>
      <x:c r="Z436" s="25"/>
    </x:row>
    <x:row r="437">
      <x:c r="A437" s="25"/>
      <x:c r="B437" s="25"/>
      <x:c r="C437" s="25"/>
      <x:c r="D437" s="25"/>
      <x:c r="E437" s="25"/>
      <x:c r="F437" s="25"/>
      <x:c r="G437" s="25"/>
      <x:c r="H437" s="25"/>
      <x:c r="I437" s="25"/>
      <x:c r="J437" s="25"/>
      <x:c r="K437" s="25"/>
      <x:c r="L437" s="25"/>
      <x:c r="M437" s="25"/>
      <x:c r="N437" s="25"/>
      <x:c r="O437" s="25"/>
      <x:c r="P437" s="25"/>
      <x:c r="Q437" s="25"/>
      <x:c r="R437" s="25"/>
      <x:c r="S437" s="25"/>
      <x:c r="T437" s="25"/>
      <x:c r="U437" s="25"/>
      <x:c r="V437" s="25"/>
      <x:c r="W437" s="25"/>
      <x:c r="X437" s="25"/>
      <x:c r="Y437" s="25"/>
      <x:c r="Z437" s="25"/>
    </x:row>
    <x:row r="438">
      <x:c r="A438" s="25"/>
      <x:c r="B438" s="25"/>
      <x:c r="C438" s="25"/>
      <x:c r="D438" s="25"/>
      <x:c r="E438" s="25"/>
      <x:c r="F438" s="25"/>
      <x:c r="G438" s="25"/>
      <x:c r="H438" s="25"/>
      <x:c r="I438" s="25"/>
      <x:c r="J438" s="25"/>
      <x:c r="K438" s="25"/>
      <x:c r="L438" s="25"/>
      <x:c r="M438" s="25"/>
      <x:c r="N438" s="25"/>
      <x:c r="O438" s="25"/>
      <x:c r="P438" s="25"/>
      <x:c r="Q438" s="25"/>
      <x:c r="R438" s="25"/>
      <x:c r="S438" s="25"/>
      <x:c r="T438" s="25"/>
      <x:c r="U438" s="25"/>
      <x:c r="V438" s="25"/>
      <x:c r="W438" s="25"/>
      <x:c r="X438" s="25"/>
      <x:c r="Y438" s="25"/>
      <x:c r="Z438" s="25"/>
    </x:row>
    <x:row r="439">
      <x:c r="A439" s="25"/>
      <x:c r="B439" s="25"/>
      <x:c r="C439" s="25"/>
      <x:c r="D439" s="25"/>
      <x:c r="E439" s="25"/>
      <x:c r="F439" s="25"/>
      <x:c r="G439" s="25"/>
      <x:c r="H439" s="25"/>
      <x:c r="I439" s="25"/>
      <x:c r="J439" s="25"/>
      <x:c r="K439" s="25"/>
      <x:c r="L439" s="25"/>
      <x:c r="M439" s="25"/>
      <x:c r="N439" s="25"/>
      <x:c r="O439" s="25"/>
      <x:c r="P439" s="25"/>
      <x:c r="Q439" s="25"/>
      <x:c r="R439" s="25"/>
      <x:c r="S439" s="25"/>
      <x:c r="T439" s="25"/>
      <x:c r="U439" s="25"/>
      <x:c r="V439" s="25"/>
      <x:c r="W439" s="25"/>
      <x:c r="X439" s="25"/>
      <x:c r="Y439" s="25"/>
      <x:c r="Z439" s="25"/>
    </x:row>
    <x:row r="440">
      <x:c r="A440" s="25"/>
      <x:c r="B440" s="25"/>
      <x:c r="C440" s="25"/>
      <x:c r="D440" s="25"/>
      <x:c r="E440" s="25"/>
      <x:c r="F440" s="25"/>
      <x:c r="G440" s="25"/>
      <x:c r="H440" s="25"/>
      <x:c r="I440" s="25"/>
      <x:c r="J440" s="25"/>
      <x:c r="K440" s="25"/>
      <x:c r="L440" s="25"/>
      <x:c r="M440" s="25"/>
      <x:c r="N440" s="25"/>
      <x:c r="O440" s="25"/>
      <x:c r="P440" s="25"/>
      <x:c r="Q440" s="25"/>
      <x:c r="R440" s="25"/>
      <x:c r="S440" s="25"/>
      <x:c r="T440" s="25"/>
      <x:c r="U440" s="25"/>
      <x:c r="V440" s="25"/>
      <x:c r="W440" s="25"/>
      <x:c r="X440" s="25"/>
      <x:c r="Y440" s="25"/>
      <x:c r="Z440" s="25"/>
    </x:row>
    <x:row r="441">
      <x:c r="A441" s="25"/>
      <x:c r="B441" s="25"/>
      <x:c r="C441" s="25"/>
      <x:c r="D441" s="25"/>
      <x:c r="E441" s="25"/>
      <x:c r="F441" s="25"/>
      <x:c r="G441" s="25"/>
      <x:c r="H441" s="25"/>
      <x:c r="I441" s="25"/>
      <x:c r="J441" s="25"/>
      <x:c r="K441" s="25"/>
      <x:c r="L441" s="25"/>
      <x:c r="M441" s="25"/>
      <x:c r="N441" s="25"/>
      <x:c r="O441" s="25"/>
      <x:c r="P441" s="25"/>
      <x:c r="Q441" s="25"/>
      <x:c r="R441" s="25"/>
      <x:c r="S441" s="25"/>
      <x:c r="T441" s="25"/>
      <x:c r="U441" s="25"/>
      <x:c r="V441" s="25"/>
      <x:c r="W441" s="25"/>
      <x:c r="X441" s="25"/>
      <x:c r="Y441" s="25"/>
      <x:c r="Z441" s="25"/>
    </x:row>
    <x:row r="442">
      <x:c r="A442" s="25"/>
      <x:c r="B442" s="25"/>
      <x:c r="C442" s="25"/>
      <x:c r="D442" s="25"/>
      <x:c r="E442" s="25"/>
      <x:c r="F442" s="25"/>
      <x:c r="G442" s="25"/>
      <x:c r="H442" s="25"/>
      <x:c r="I442" s="25"/>
      <x:c r="J442" s="25"/>
      <x:c r="K442" s="25"/>
      <x:c r="L442" s="25"/>
      <x:c r="M442" s="25"/>
      <x:c r="N442" s="25"/>
      <x:c r="O442" s="25"/>
      <x:c r="P442" s="25"/>
      <x:c r="Q442" s="25"/>
      <x:c r="R442" s="25"/>
      <x:c r="S442" s="25"/>
      <x:c r="T442" s="25"/>
      <x:c r="U442" s="25"/>
      <x:c r="V442" s="25"/>
      <x:c r="W442" s="25"/>
      <x:c r="X442" s="25"/>
      <x:c r="Y442" s="25"/>
      <x:c r="Z442" s="25"/>
    </x:row>
    <x:row r="443">
      <x:c r="A443" s="25"/>
      <x:c r="B443" s="25"/>
      <x:c r="C443" s="25"/>
      <x:c r="D443" s="25"/>
      <x:c r="E443" s="25"/>
      <x:c r="F443" s="25"/>
      <x:c r="G443" s="25"/>
      <x:c r="H443" s="25"/>
      <x:c r="I443" s="25"/>
      <x:c r="J443" s="25"/>
      <x:c r="K443" s="25"/>
      <x:c r="L443" s="25"/>
      <x:c r="M443" s="25"/>
      <x:c r="N443" s="25"/>
      <x:c r="O443" s="25"/>
      <x:c r="P443" s="25"/>
      <x:c r="Q443" s="25"/>
      <x:c r="R443" s="25"/>
      <x:c r="S443" s="25"/>
      <x:c r="T443" s="25"/>
      <x:c r="U443" s="25"/>
      <x:c r="V443" s="25"/>
      <x:c r="W443" s="25"/>
      <x:c r="X443" s="25"/>
      <x:c r="Y443" s="25"/>
      <x:c r="Z443" s="25"/>
    </x:row>
    <x:row r="444">
      <x:c r="A444" s="25"/>
      <x:c r="B444" s="25"/>
      <x:c r="C444" s="25"/>
      <x:c r="D444" s="25"/>
      <x:c r="E444" s="25"/>
      <x:c r="F444" s="25"/>
      <x:c r="G444" s="25"/>
      <x:c r="H444" s="25"/>
      <x:c r="I444" s="25"/>
      <x:c r="J444" s="25"/>
      <x:c r="K444" s="25"/>
      <x:c r="L444" s="25"/>
      <x:c r="M444" s="25"/>
      <x:c r="N444" s="25"/>
      <x:c r="O444" s="25"/>
      <x:c r="P444" s="25"/>
      <x:c r="Q444" s="25"/>
      <x:c r="R444" s="25"/>
      <x:c r="S444" s="25"/>
      <x:c r="T444" s="25"/>
      <x:c r="U444" s="25"/>
      <x:c r="V444" s="25"/>
      <x:c r="W444" s="25"/>
      <x:c r="X444" s="25"/>
      <x:c r="Y444" s="25"/>
      <x:c r="Z444" s="25"/>
    </x:row>
    <x:row r="445">
      <x:c r="A445" s="25"/>
      <x:c r="B445" s="25"/>
      <x:c r="C445" s="25"/>
      <x:c r="D445" s="25"/>
      <x:c r="E445" s="25"/>
      <x:c r="F445" s="25"/>
      <x:c r="G445" s="25"/>
      <x:c r="H445" s="25"/>
      <x:c r="I445" s="25"/>
      <x:c r="J445" s="25"/>
      <x:c r="K445" s="25"/>
      <x:c r="L445" s="25"/>
      <x:c r="M445" s="25"/>
      <x:c r="N445" s="25"/>
      <x:c r="O445" s="25"/>
      <x:c r="P445" s="25"/>
      <x:c r="Q445" s="25"/>
      <x:c r="R445" s="25"/>
      <x:c r="S445" s="25"/>
      <x:c r="T445" s="25"/>
      <x:c r="U445" s="25"/>
      <x:c r="V445" s="25"/>
      <x:c r="W445" s="25"/>
      <x:c r="X445" s="25"/>
      <x:c r="Y445" s="25"/>
      <x:c r="Z445" s="25"/>
    </x:row>
    <x:row r="446">
      <x:c r="A446" s="25"/>
      <x:c r="B446" s="25"/>
      <x:c r="C446" s="25"/>
      <x:c r="D446" s="25"/>
      <x:c r="E446" s="25"/>
      <x:c r="F446" s="25"/>
      <x:c r="G446" s="25"/>
      <x:c r="H446" s="25"/>
      <x:c r="I446" s="25"/>
      <x:c r="J446" s="25"/>
      <x:c r="K446" s="25"/>
      <x:c r="L446" s="25"/>
      <x:c r="M446" s="25"/>
      <x:c r="N446" s="25"/>
      <x:c r="O446" s="25"/>
      <x:c r="P446" s="25"/>
      <x:c r="Q446" s="25"/>
      <x:c r="R446" s="25"/>
      <x:c r="S446" s="25"/>
      <x:c r="T446" s="25"/>
      <x:c r="U446" s="25"/>
      <x:c r="V446" s="25"/>
      <x:c r="W446" s="25"/>
      <x:c r="X446" s="25"/>
      <x:c r="Y446" s="25"/>
      <x:c r="Z446" s="25"/>
    </x:row>
    <x:row r="447">
      <x:c r="A447" s="25"/>
      <x:c r="B447" s="25"/>
      <x:c r="C447" s="25"/>
      <x:c r="D447" s="25"/>
      <x:c r="E447" s="25"/>
      <x:c r="F447" s="25"/>
      <x:c r="G447" s="25"/>
      <x:c r="H447" s="25"/>
      <x:c r="I447" s="25"/>
      <x:c r="J447" s="25"/>
      <x:c r="K447" s="25"/>
      <x:c r="L447" s="25"/>
      <x:c r="M447" s="25"/>
      <x:c r="N447" s="25"/>
      <x:c r="O447" s="25"/>
      <x:c r="P447" s="25"/>
      <x:c r="Q447" s="25"/>
      <x:c r="R447" s="25"/>
      <x:c r="S447" s="25"/>
      <x:c r="T447" s="25"/>
      <x:c r="U447" s="25"/>
      <x:c r="V447" s="25"/>
      <x:c r="W447" s="25"/>
      <x:c r="X447" s="25"/>
      <x:c r="Y447" s="25"/>
      <x:c r="Z447" s="25"/>
    </x:row>
    <x:row r="448">
      <x:c r="A448" s="25"/>
      <x:c r="B448" s="25"/>
      <x:c r="C448" s="25"/>
      <x:c r="D448" s="25"/>
      <x:c r="E448" s="25"/>
      <x:c r="F448" s="25"/>
      <x:c r="G448" s="25"/>
      <x:c r="H448" s="25"/>
      <x:c r="I448" s="25"/>
      <x:c r="J448" s="25"/>
      <x:c r="K448" s="25"/>
      <x:c r="L448" s="25"/>
      <x:c r="M448" s="25"/>
      <x:c r="N448" s="25"/>
      <x:c r="O448" s="25"/>
      <x:c r="P448" s="25"/>
      <x:c r="Q448" s="25"/>
      <x:c r="R448" s="25"/>
      <x:c r="S448" s="25"/>
      <x:c r="T448" s="25"/>
      <x:c r="U448" s="25"/>
      <x:c r="V448" s="25"/>
      <x:c r="W448" s="25"/>
      <x:c r="X448" s="25"/>
      <x:c r="Y448" s="25"/>
      <x:c r="Z448" s="25"/>
    </x:row>
    <x:row r="449">
      <x:c r="A449" s="25"/>
      <x:c r="B449" s="25"/>
      <x:c r="C449" s="25"/>
      <x:c r="D449" s="25"/>
      <x:c r="E449" s="25"/>
      <x:c r="F449" s="25"/>
      <x:c r="G449" s="25"/>
      <x:c r="H449" s="25"/>
      <x:c r="I449" s="25"/>
      <x:c r="J449" s="25"/>
      <x:c r="K449" s="25"/>
      <x:c r="L449" s="25"/>
      <x:c r="M449" s="25"/>
      <x:c r="N449" s="25"/>
      <x:c r="O449" s="25"/>
      <x:c r="P449" s="25"/>
      <x:c r="Q449" s="25"/>
      <x:c r="R449" s="25"/>
      <x:c r="S449" s="25"/>
      <x:c r="T449" s="25"/>
      <x:c r="U449" s="25"/>
      <x:c r="V449" s="25"/>
      <x:c r="W449" s="25"/>
      <x:c r="X449" s="25"/>
      <x:c r="Y449" s="25"/>
      <x:c r="Z449" s="25"/>
    </x:row>
    <x:row r="450">
      <x:c r="A450" s="25"/>
      <x:c r="B450" s="25"/>
      <x:c r="C450" s="25"/>
      <x:c r="D450" s="25"/>
      <x:c r="E450" s="25"/>
      <x:c r="F450" s="25"/>
      <x:c r="G450" s="25"/>
      <x:c r="H450" s="25"/>
      <x:c r="I450" s="25"/>
      <x:c r="J450" s="25"/>
      <x:c r="K450" s="25"/>
      <x:c r="L450" s="25"/>
      <x:c r="M450" s="25"/>
      <x:c r="N450" s="25"/>
      <x:c r="O450" s="25"/>
      <x:c r="P450" s="25"/>
      <x:c r="Q450" s="25"/>
      <x:c r="R450" s="25"/>
      <x:c r="S450" s="25"/>
      <x:c r="T450" s="25"/>
      <x:c r="U450" s="25"/>
      <x:c r="V450" s="25"/>
      <x:c r="W450" s="25"/>
      <x:c r="X450" s="25"/>
      <x:c r="Y450" s="25"/>
      <x:c r="Z450" s="25"/>
    </x:row>
    <x:row r="451">
      <x:c r="A451" s="25"/>
      <x:c r="B451" s="25"/>
      <x:c r="C451" s="25"/>
      <x:c r="D451" s="25"/>
      <x:c r="E451" s="25"/>
      <x:c r="F451" s="25"/>
      <x:c r="G451" s="25"/>
      <x:c r="H451" s="25"/>
      <x:c r="I451" s="25"/>
      <x:c r="J451" s="25"/>
      <x:c r="K451" s="25"/>
      <x:c r="L451" s="25"/>
      <x:c r="M451" s="25"/>
      <x:c r="N451" s="25"/>
      <x:c r="O451" s="25"/>
      <x:c r="P451" s="25"/>
      <x:c r="Q451" s="25"/>
      <x:c r="R451" s="25"/>
      <x:c r="S451" s="25"/>
      <x:c r="T451" s="25"/>
      <x:c r="U451" s="25"/>
      <x:c r="V451" s="25"/>
      <x:c r="W451" s="25"/>
      <x:c r="X451" s="25"/>
      <x:c r="Y451" s="25"/>
      <x:c r="Z451" s="25"/>
    </x:row>
    <x:row r="452">
      <x:c r="A452" s="25"/>
      <x:c r="B452" s="25"/>
      <x:c r="C452" s="25"/>
      <x:c r="D452" s="25"/>
      <x:c r="E452" s="25"/>
      <x:c r="F452" s="25"/>
      <x:c r="G452" s="25"/>
      <x:c r="H452" s="25"/>
      <x:c r="I452" s="25"/>
      <x:c r="J452" s="25"/>
      <x:c r="K452" s="25"/>
      <x:c r="L452" s="25"/>
      <x:c r="M452" s="25"/>
      <x:c r="N452" s="25"/>
      <x:c r="O452" s="25"/>
      <x:c r="P452" s="25"/>
      <x:c r="Q452" s="25"/>
      <x:c r="R452" s="25"/>
      <x:c r="S452" s="25"/>
      <x:c r="T452" s="25"/>
      <x:c r="U452" s="25"/>
      <x:c r="V452" s="25"/>
      <x:c r="W452" s="25"/>
      <x:c r="X452" s="25"/>
      <x:c r="Y452" s="25"/>
      <x:c r="Z452" s="25"/>
    </x:row>
    <x:row r="453">
      <x:c r="A453" s="25"/>
      <x:c r="B453" s="25"/>
      <x:c r="C453" s="25"/>
      <x:c r="D453" s="25"/>
      <x:c r="E453" s="25"/>
      <x:c r="F453" s="25"/>
      <x:c r="G453" s="25"/>
      <x:c r="H453" s="25"/>
      <x:c r="I453" s="25"/>
      <x:c r="J453" s="25"/>
      <x:c r="K453" s="25"/>
      <x:c r="L453" s="25"/>
      <x:c r="M453" s="25"/>
      <x:c r="N453" s="25"/>
      <x:c r="O453" s="25"/>
      <x:c r="P453" s="25"/>
      <x:c r="Q453" s="25"/>
      <x:c r="R453" s="25"/>
      <x:c r="S453" s="25"/>
      <x:c r="T453" s="25"/>
      <x:c r="U453" s="25"/>
      <x:c r="V453" s="25"/>
      <x:c r="W453" s="25"/>
      <x:c r="X453" s="25"/>
      <x:c r="Y453" s="25"/>
      <x:c r="Z453" s="25"/>
    </x:row>
    <x:row r="454">
      <x:c r="A454" s="25"/>
      <x:c r="B454" s="25"/>
      <x:c r="C454" s="25"/>
      <x:c r="D454" s="25"/>
      <x:c r="E454" s="25"/>
      <x:c r="F454" s="25"/>
      <x:c r="G454" s="25"/>
      <x:c r="H454" s="25"/>
      <x:c r="I454" s="25"/>
      <x:c r="J454" s="25"/>
      <x:c r="K454" s="25"/>
      <x:c r="L454" s="25"/>
      <x:c r="M454" s="25"/>
      <x:c r="N454" s="25"/>
      <x:c r="O454" s="25"/>
      <x:c r="P454" s="25"/>
      <x:c r="Q454" s="25"/>
      <x:c r="R454" s="25"/>
      <x:c r="S454" s="25"/>
      <x:c r="T454" s="25"/>
      <x:c r="U454" s="25"/>
      <x:c r="V454" s="25"/>
      <x:c r="W454" s="25"/>
      <x:c r="X454" s="25"/>
      <x:c r="Y454" s="25"/>
      <x:c r="Z454" s="25"/>
    </x:row>
    <x:row r="455">
      <x:c r="A455" s="25"/>
      <x:c r="B455" s="25"/>
      <x:c r="C455" s="25"/>
      <x:c r="D455" s="25"/>
      <x:c r="E455" s="25"/>
      <x:c r="F455" s="25"/>
      <x:c r="G455" s="25"/>
      <x:c r="H455" s="25"/>
      <x:c r="I455" s="25"/>
      <x:c r="J455" s="25"/>
      <x:c r="K455" s="25"/>
      <x:c r="L455" s="25"/>
      <x:c r="M455" s="25"/>
      <x:c r="N455" s="25"/>
      <x:c r="O455" s="25"/>
      <x:c r="P455" s="25"/>
      <x:c r="Q455" s="25"/>
      <x:c r="R455" s="25"/>
      <x:c r="S455" s="25"/>
      <x:c r="T455" s="25"/>
      <x:c r="U455" s="25"/>
      <x:c r="V455" s="25"/>
      <x:c r="W455" s="25"/>
      <x:c r="X455" s="25"/>
      <x:c r="Y455" s="25"/>
      <x:c r="Z455" s="25"/>
    </x:row>
    <x:row r="456">
      <x:c r="A456" s="25"/>
      <x:c r="B456" s="25"/>
      <x:c r="C456" s="25"/>
      <x:c r="D456" s="25"/>
      <x:c r="E456" s="25"/>
      <x:c r="F456" s="25"/>
      <x:c r="G456" s="25"/>
      <x:c r="H456" s="25"/>
      <x:c r="I456" s="25"/>
      <x:c r="J456" s="25"/>
      <x:c r="K456" s="25"/>
      <x:c r="L456" s="25"/>
      <x:c r="M456" s="25"/>
      <x:c r="N456" s="25"/>
      <x:c r="O456" s="25"/>
      <x:c r="P456" s="25"/>
      <x:c r="Q456" s="25"/>
      <x:c r="R456" s="25"/>
      <x:c r="S456" s="25"/>
      <x:c r="T456" s="25"/>
      <x:c r="U456" s="25"/>
      <x:c r="V456" s="25"/>
      <x:c r="W456" s="25"/>
      <x:c r="X456" s="25"/>
      <x:c r="Y456" s="25"/>
      <x:c r="Z456" s="25"/>
    </x:row>
    <x:row r="457">
      <x:c r="A457" s="25"/>
      <x:c r="B457" s="25"/>
      <x:c r="C457" s="25"/>
      <x:c r="D457" s="25"/>
      <x:c r="E457" s="25"/>
      <x:c r="F457" s="25"/>
      <x:c r="G457" s="25"/>
      <x:c r="H457" s="25"/>
      <x:c r="I457" s="25"/>
      <x:c r="J457" s="25"/>
      <x:c r="K457" s="25"/>
      <x:c r="L457" s="25"/>
      <x:c r="M457" s="25"/>
      <x:c r="N457" s="25"/>
      <x:c r="O457" s="25"/>
      <x:c r="P457" s="25"/>
      <x:c r="Q457" s="25"/>
      <x:c r="R457" s="25"/>
      <x:c r="S457" s="25"/>
      <x:c r="T457" s="25"/>
      <x:c r="U457" s="25"/>
      <x:c r="V457" s="25"/>
      <x:c r="W457" s="25"/>
      <x:c r="X457" s="25"/>
      <x:c r="Y457" s="25"/>
      <x:c r="Z457" s="25"/>
    </x:row>
    <x:row r="458">
      <x:c r="A458" s="25"/>
      <x:c r="B458" s="25"/>
      <x:c r="C458" s="25"/>
      <x:c r="D458" s="25"/>
      <x:c r="E458" s="25"/>
      <x:c r="F458" s="25"/>
      <x:c r="G458" s="25"/>
      <x:c r="H458" s="25"/>
      <x:c r="I458" s="25"/>
      <x:c r="J458" s="25"/>
      <x:c r="K458" s="25"/>
      <x:c r="L458" s="25"/>
      <x:c r="M458" s="25"/>
      <x:c r="N458" s="25"/>
      <x:c r="O458" s="25"/>
      <x:c r="P458" s="25"/>
      <x:c r="Q458" s="25"/>
      <x:c r="R458" s="25"/>
      <x:c r="S458" s="25"/>
      <x:c r="T458" s="25"/>
      <x:c r="U458" s="25"/>
      <x:c r="V458" s="25"/>
      <x:c r="W458" s="25"/>
      <x:c r="X458" s="25"/>
      <x:c r="Y458" s="25"/>
      <x:c r="Z458" s="25"/>
    </x:row>
    <x:row r="459">
      <x:c r="A459" s="25"/>
      <x:c r="B459" s="25"/>
      <x:c r="C459" s="25"/>
      <x:c r="D459" s="25"/>
      <x:c r="E459" s="25"/>
      <x:c r="F459" s="25"/>
      <x:c r="G459" s="25"/>
      <x:c r="H459" s="25"/>
      <x:c r="I459" s="25"/>
      <x:c r="J459" s="25"/>
      <x:c r="K459" s="25"/>
      <x:c r="L459" s="25"/>
      <x:c r="M459" s="25"/>
      <x:c r="N459" s="25"/>
      <x:c r="O459" s="25"/>
      <x:c r="P459" s="25"/>
      <x:c r="Q459" s="25"/>
      <x:c r="R459" s="25"/>
      <x:c r="S459" s="25"/>
      <x:c r="T459" s="25"/>
      <x:c r="U459" s="25"/>
      <x:c r="V459" s="25"/>
      <x:c r="W459" s="25"/>
      <x:c r="X459" s="25"/>
      <x:c r="Y459" s="25"/>
      <x:c r="Z459" s="25"/>
    </x:row>
    <x:row r="460">
      <x:c r="A460" s="25"/>
      <x:c r="B460" s="25"/>
      <x:c r="C460" s="25"/>
      <x:c r="D460" s="25"/>
      <x:c r="E460" s="25"/>
      <x:c r="F460" s="25"/>
      <x:c r="G460" s="25"/>
      <x:c r="H460" s="25"/>
      <x:c r="I460" s="25"/>
      <x:c r="J460" s="25"/>
      <x:c r="K460" s="25"/>
      <x:c r="L460" s="25"/>
      <x:c r="M460" s="25"/>
      <x:c r="N460" s="25"/>
      <x:c r="O460" s="25"/>
      <x:c r="P460" s="25"/>
      <x:c r="Q460" s="25"/>
      <x:c r="R460" s="25"/>
      <x:c r="S460" s="25"/>
      <x:c r="T460" s="25"/>
      <x:c r="U460" s="25"/>
      <x:c r="V460" s="25"/>
      <x:c r="W460" s="25"/>
      <x:c r="X460" s="25"/>
      <x:c r="Y460" s="25"/>
      <x:c r="Z460" s="25"/>
    </x:row>
    <x:row r="461">
      <x:c r="A461" s="25"/>
      <x:c r="B461" s="25"/>
      <x:c r="C461" s="25"/>
      <x:c r="D461" s="25"/>
      <x:c r="E461" s="25"/>
      <x:c r="F461" s="25"/>
      <x:c r="G461" s="25"/>
      <x:c r="H461" s="25"/>
      <x:c r="I461" s="25"/>
      <x:c r="J461" s="25"/>
      <x:c r="K461" s="25"/>
      <x:c r="L461" s="25"/>
      <x:c r="M461" s="25"/>
      <x:c r="N461" s="25"/>
      <x:c r="O461" s="25"/>
      <x:c r="P461" s="25"/>
      <x:c r="Q461" s="25"/>
      <x:c r="R461" s="25"/>
      <x:c r="S461" s="25"/>
      <x:c r="T461" s="25"/>
      <x:c r="U461" s="25"/>
      <x:c r="V461" s="25"/>
      <x:c r="W461" s="25"/>
      <x:c r="X461" s="25"/>
      <x:c r="Y461" s="25"/>
      <x:c r="Z461" s="25"/>
    </x:row>
    <x:row r="462">
      <x:c r="A462" s="25"/>
      <x:c r="B462" s="25"/>
      <x:c r="C462" s="25"/>
      <x:c r="D462" s="25"/>
      <x:c r="E462" s="25"/>
      <x:c r="F462" s="25"/>
      <x:c r="G462" s="25"/>
      <x:c r="H462" s="25"/>
      <x:c r="I462" s="25"/>
      <x:c r="J462" s="25"/>
      <x:c r="K462" s="25"/>
      <x:c r="L462" s="25"/>
      <x:c r="M462" s="25"/>
      <x:c r="N462" s="25"/>
      <x:c r="O462" s="25"/>
      <x:c r="P462" s="25"/>
      <x:c r="Q462" s="25"/>
      <x:c r="R462" s="25"/>
      <x:c r="S462" s="25"/>
      <x:c r="T462" s="25"/>
      <x:c r="U462" s="25"/>
      <x:c r="V462" s="25"/>
      <x:c r="W462" s="25"/>
      <x:c r="X462" s="25"/>
      <x:c r="Y462" s="25"/>
      <x:c r="Z462" s="25"/>
    </x:row>
    <x:row r="463">
      <x:c r="A463" s="25"/>
      <x:c r="B463" s="25"/>
      <x:c r="C463" s="25"/>
      <x:c r="D463" s="25"/>
      <x:c r="E463" s="25"/>
      <x:c r="F463" s="25"/>
      <x:c r="G463" s="25"/>
      <x:c r="H463" s="25"/>
      <x:c r="I463" s="25"/>
      <x:c r="J463" s="25"/>
      <x:c r="K463" s="25"/>
      <x:c r="L463" s="25"/>
      <x:c r="M463" s="25"/>
      <x:c r="N463" s="25"/>
      <x:c r="O463" s="25"/>
      <x:c r="P463" s="25"/>
      <x:c r="Q463" s="25"/>
      <x:c r="R463" s="25"/>
      <x:c r="S463" s="25"/>
      <x:c r="T463" s="25"/>
      <x:c r="U463" s="25"/>
      <x:c r="V463" s="25"/>
      <x:c r="W463" s="25"/>
      <x:c r="X463" s="25"/>
      <x:c r="Y463" s="25"/>
      <x:c r="Z463" s="25"/>
    </x:row>
    <x:row r="464">
      <x:c r="A464" s="25"/>
      <x:c r="B464" s="25"/>
      <x:c r="C464" s="25"/>
      <x:c r="D464" s="25"/>
      <x:c r="E464" s="25"/>
      <x:c r="F464" s="25"/>
      <x:c r="G464" s="25"/>
      <x:c r="H464" s="25"/>
      <x:c r="I464" s="25"/>
      <x:c r="J464" s="25"/>
      <x:c r="K464" s="25"/>
      <x:c r="L464" s="25"/>
      <x:c r="M464" s="25"/>
      <x:c r="N464" s="25"/>
      <x:c r="O464" s="25"/>
      <x:c r="P464" s="25"/>
      <x:c r="Q464" s="25"/>
      <x:c r="R464" s="25"/>
      <x:c r="S464" s="25"/>
      <x:c r="T464" s="25"/>
      <x:c r="U464" s="25"/>
      <x:c r="V464" s="25"/>
      <x:c r="W464" s="25"/>
      <x:c r="X464" s="25"/>
      <x:c r="Y464" s="25"/>
      <x:c r="Z464" s="25"/>
    </x:row>
    <x:row r="465">
      <x:c r="A465" s="25"/>
      <x:c r="B465" s="25"/>
      <x:c r="C465" s="25"/>
      <x:c r="D465" s="25"/>
      <x:c r="E465" s="25"/>
      <x:c r="F465" s="25"/>
      <x:c r="G465" s="25"/>
      <x:c r="H465" s="25"/>
      <x:c r="I465" s="25"/>
      <x:c r="J465" s="25"/>
      <x:c r="K465" s="25"/>
      <x:c r="L465" s="25"/>
      <x:c r="M465" s="25"/>
      <x:c r="N465" s="25"/>
      <x:c r="O465" s="25"/>
      <x:c r="P465" s="25"/>
      <x:c r="Q465" s="25"/>
      <x:c r="R465" s="25"/>
      <x:c r="S465" s="25"/>
      <x:c r="T465" s="25"/>
      <x:c r="U465" s="25"/>
      <x:c r="V465" s="25"/>
      <x:c r="W465" s="25"/>
      <x:c r="X465" s="25"/>
      <x:c r="Y465" s="25"/>
      <x:c r="Z465" s="25"/>
    </x:row>
    <x:row r="466">
      <x:c r="A466" s="25"/>
      <x:c r="B466" s="25"/>
      <x:c r="C466" s="25"/>
      <x:c r="D466" s="25"/>
      <x:c r="E466" s="25"/>
      <x:c r="F466" s="25"/>
      <x:c r="G466" s="25"/>
      <x:c r="H466" s="25"/>
      <x:c r="I466" s="25"/>
      <x:c r="J466" s="25"/>
      <x:c r="K466" s="25"/>
      <x:c r="L466" s="25"/>
      <x:c r="M466" s="25"/>
      <x:c r="N466" s="25"/>
      <x:c r="O466" s="25"/>
      <x:c r="P466" s="25"/>
      <x:c r="Q466" s="25"/>
      <x:c r="R466" s="25"/>
      <x:c r="S466" s="25"/>
      <x:c r="T466" s="25"/>
      <x:c r="U466" s="25"/>
      <x:c r="V466" s="25"/>
      <x:c r="W466" s="25"/>
      <x:c r="X466" s="25"/>
      <x:c r="Y466" s="25"/>
      <x:c r="Z466" s="25"/>
    </x:row>
    <x:row r="467">
      <x:c r="A467" s="25"/>
      <x:c r="B467" s="25"/>
      <x:c r="C467" s="25"/>
      <x:c r="D467" s="25"/>
      <x:c r="E467" s="25"/>
      <x:c r="F467" s="25"/>
      <x:c r="G467" s="25"/>
      <x:c r="H467" s="25"/>
      <x:c r="I467" s="25"/>
      <x:c r="J467" s="25"/>
      <x:c r="K467" s="25"/>
      <x:c r="L467" s="25"/>
      <x:c r="M467" s="25"/>
      <x:c r="N467" s="25"/>
      <x:c r="O467" s="25"/>
      <x:c r="P467" s="25"/>
      <x:c r="Q467" s="25"/>
      <x:c r="R467" s="25"/>
      <x:c r="S467" s="25"/>
      <x:c r="T467" s="25"/>
      <x:c r="U467" s="25"/>
      <x:c r="V467" s="25"/>
      <x:c r="W467" s="25"/>
      <x:c r="X467" s="25"/>
      <x:c r="Y467" s="25"/>
      <x:c r="Z467" s="25"/>
    </x:row>
    <x:row r="468">
      <x:c r="A468" s="25"/>
      <x:c r="B468" s="25"/>
      <x:c r="C468" s="25"/>
      <x:c r="D468" s="25"/>
      <x:c r="E468" s="25"/>
      <x:c r="F468" s="25"/>
      <x:c r="G468" s="25"/>
      <x:c r="H468" s="25"/>
      <x:c r="I468" s="25"/>
      <x:c r="J468" s="25"/>
      <x:c r="K468" s="25"/>
      <x:c r="L468" s="25"/>
      <x:c r="M468" s="25"/>
      <x:c r="N468" s="25"/>
      <x:c r="O468" s="25"/>
      <x:c r="P468" s="25"/>
      <x:c r="Q468" s="25"/>
      <x:c r="R468" s="25"/>
      <x:c r="S468" s="25"/>
      <x:c r="T468" s="25"/>
      <x:c r="U468" s="25"/>
      <x:c r="V468" s="25"/>
      <x:c r="W468" s="25"/>
      <x:c r="X468" s="25"/>
      <x:c r="Y468" s="25"/>
      <x:c r="Z468" s="25"/>
    </x:row>
    <x:row r="469">
      <x:c r="A469" s="25"/>
      <x:c r="B469" s="25"/>
      <x:c r="C469" s="25"/>
      <x:c r="D469" s="25"/>
      <x:c r="E469" s="25"/>
      <x:c r="F469" s="25"/>
      <x:c r="G469" s="25"/>
      <x:c r="H469" s="25"/>
      <x:c r="I469" s="25"/>
      <x:c r="J469" s="25"/>
      <x:c r="K469" s="25"/>
      <x:c r="L469" s="25"/>
      <x:c r="M469" s="25"/>
      <x:c r="N469" s="25"/>
      <x:c r="O469" s="25"/>
      <x:c r="P469" s="25"/>
      <x:c r="Q469" s="25"/>
      <x:c r="R469" s="25"/>
      <x:c r="S469" s="25"/>
      <x:c r="T469" s="25"/>
      <x:c r="U469" s="25"/>
      <x:c r="V469" s="25"/>
      <x:c r="W469" s="25"/>
      <x:c r="X469" s="25"/>
      <x:c r="Y469" s="25"/>
      <x:c r="Z469" s="25"/>
    </x:row>
    <x:row r="470">
      <x:c r="A470" s="25"/>
      <x:c r="B470" s="25"/>
      <x:c r="C470" s="25"/>
      <x:c r="D470" s="25"/>
      <x:c r="E470" s="25"/>
      <x:c r="F470" s="25"/>
      <x:c r="G470" s="25"/>
      <x:c r="H470" s="25"/>
      <x:c r="I470" s="25"/>
      <x:c r="J470" s="25"/>
      <x:c r="K470" s="25"/>
      <x:c r="L470" s="25"/>
      <x:c r="M470" s="25"/>
      <x:c r="N470" s="25"/>
      <x:c r="O470" s="25"/>
      <x:c r="P470" s="25"/>
      <x:c r="Q470" s="25"/>
      <x:c r="R470" s="25"/>
      <x:c r="S470" s="25"/>
      <x:c r="T470" s="25"/>
      <x:c r="U470" s="25"/>
      <x:c r="V470" s="25"/>
      <x:c r="W470" s="25"/>
      <x:c r="X470" s="25"/>
      <x:c r="Y470" s="25"/>
      <x:c r="Z470" s="25"/>
    </x:row>
    <x:row r="471">
      <x:c r="A471" s="25"/>
      <x:c r="B471" s="25"/>
      <x:c r="C471" s="25"/>
      <x:c r="D471" s="25"/>
      <x:c r="E471" s="25"/>
      <x:c r="F471" s="25"/>
      <x:c r="G471" s="25"/>
      <x:c r="H471" s="25"/>
      <x:c r="I471" s="25"/>
      <x:c r="J471" s="25"/>
      <x:c r="K471" s="25"/>
      <x:c r="L471" s="25"/>
      <x:c r="M471" s="25"/>
      <x:c r="N471" s="25"/>
      <x:c r="O471" s="25"/>
      <x:c r="P471" s="25"/>
      <x:c r="Q471" s="25"/>
      <x:c r="R471" s="25"/>
      <x:c r="S471" s="25"/>
      <x:c r="T471" s="25"/>
      <x:c r="U471" s="25"/>
      <x:c r="V471" s="25"/>
      <x:c r="W471" s="25"/>
      <x:c r="X471" s="25"/>
      <x:c r="Y471" s="25"/>
      <x:c r="Z471" s="25"/>
    </x:row>
    <x:row r="472">
      <x:c r="A472" s="25"/>
      <x:c r="B472" s="25"/>
      <x:c r="C472" s="25"/>
      <x:c r="D472" s="25"/>
      <x:c r="E472" s="25"/>
      <x:c r="F472" s="25"/>
      <x:c r="G472" s="25"/>
      <x:c r="H472" s="25"/>
      <x:c r="I472" s="25"/>
      <x:c r="J472" s="25"/>
      <x:c r="K472" s="25"/>
      <x:c r="L472" s="25"/>
      <x:c r="M472" s="25"/>
      <x:c r="N472" s="25"/>
      <x:c r="O472" s="25"/>
      <x:c r="P472" s="25"/>
      <x:c r="Q472" s="25"/>
      <x:c r="R472" s="25"/>
      <x:c r="S472" s="25"/>
      <x:c r="T472" s="25"/>
      <x:c r="U472" s="25"/>
      <x:c r="V472" s="25"/>
      <x:c r="W472" s="25"/>
      <x:c r="X472" s="25"/>
      <x:c r="Y472" s="25"/>
      <x:c r="Z472" s="25"/>
    </x:row>
    <x:row r="473">
      <x:c r="A473" s="25"/>
      <x:c r="B473" s="25"/>
      <x:c r="C473" s="25"/>
      <x:c r="D473" s="25"/>
      <x:c r="E473" s="25"/>
      <x:c r="F473" s="25"/>
      <x:c r="G473" s="25"/>
      <x:c r="H473" s="25"/>
      <x:c r="I473" s="25"/>
      <x:c r="J473" s="25"/>
      <x:c r="K473" s="25"/>
      <x:c r="L473" s="25"/>
      <x:c r="M473" s="25"/>
      <x:c r="N473" s="25"/>
      <x:c r="O473" s="25"/>
      <x:c r="P473" s="25"/>
      <x:c r="Q473" s="25"/>
      <x:c r="R473" s="25"/>
      <x:c r="S473" s="25"/>
      <x:c r="T473" s="25"/>
      <x:c r="U473" s="25"/>
      <x:c r="V473" s="25"/>
      <x:c r="W473" s="25"/>
      <x:c r="X473" s="25"/>
      <x:c r="Y473" s="25"/>
      <x:c r="Z473" s="25"/>
    </x:row>
    <x:row r="474">
      <x:c r="A474" s="25"/>
      <x:c r="B474" s="25"/>
      <x:c r="C474" s="25"/>
      <x:c r="D474" s="25"/>
      <x:c r="E474" s="25"/>
      <x:c r="F474" s="25"/>
      <x:c r="G474" s="25"/>
      <x:c r="H474" s="25"/>
      <x:c r="I474" s="25"/>
      <x:c r="J474" s="25"/>
      <x:c r="K474" s="25"/>
      <x:c r="L474" s="25"/>
      <x:c r="M474" s="25"/>
      <x:c r="N474" s="25"/>
      <x:c r="O474" s="25"/>
      <x:c r="P474" s="25"/>
      <x:c r="Q474" s="25"/>
      <x:c r="R474" s="25"/>
      <x:c r="S474" s="25"/>
      <x:c r="T474" s="25"/>
      <x:c r="U474" s="25"/>
      <x:c r="V474" s="25"/>
      <x:c r="W474" s="25"/>
      <x:c r="X474" s="25"/>
      <x:c r="Y474" s="25"/>
      <x:c r="Z474" s="25"/>
    </x:row>
    <x:row r="475">
      <x:c r="A475" s="25"/>
      <x:c r="B475" s="25"/>
      <x:c r="C475" s="25"/>
      <x:c r="D475" s="25"/>
      <x:c r="E475" s="25"/>
      <x:c r="F475" s="25"/>
      <x:c r="G475" s="25"/>
      <x:c r="H475" s="25"/>
      <x:c r="I475" s="25"/>
      <x:c r="J475" s="25"/>
      <x:c r="K475" s="25"/>
      <x:c r="L475" s="25"/>
      <x:c r="M475" s="25"/>
      <x:c r="N475" s="25"/>
      <x:c r="O475" s="25"/>
      <x:c r="P475" s="25"/>
      <x:c r="Q475" s="25"/>
      <x:c r="R475" s="25"/>
      <x:c r="S475" s="25"/>
      <x:c r="T475" s="25"/>
      <x:c r="U475" s="25"/>
      <x:c r="V475" s="25"/>
      <x:c r="W475" s="25"/>
      <x:c r="X475" s="25"/>
      <x:c r="Y475" s="25"/>
      <x:c r="Z475" s="25"/>
    </x:row>
    <x:row r="476">
      <x:c r="A476" s="25"/>
      <x:c r="B476" s="25"/>
      <x:c r="C476" s="25"/>
      <x:c r="D476" s="25"/>
      <x:c r="E476" s="25"/>
      <x:c r="F476" s="25"/>
      <x:c r="G476" s="25"/>
      <x:c r="H476" s="25"/>
      <x:c r="I476" s="25"/>
      <x:c r="J476" s="25"/>
      <x:c r="K476" s="25"/>
      <x:c r="L476" s="25"/>
      <x:c r="M476" s="25"/>
      <x:c r="N476" s="25"/>
      <x:c r="O476" s="25"/>
      <x:c r="P476" s="25"/>
      <x:c r="Q476" s="25"/>
      <x:c r="R476" s="25"/>
      <x:c r="S476" s="25"/>
      <x:c r="T476" s="25"/>
      <x:c r="U476" s="25"/>
      <x:c r="V476" s="25"/>
      <x:c r="W476" s="25"/>
      <x:c r="X476" s="25"/>
      <x:c r="Y476" s="25"/>
      <x:c r="Z476" s="25"/>
    </x:row>
    <x:row r="477">
      <x:c r="A477" s="25"/>
      <x:c r="B477" s="25"/>
      <x:c r="C477" s="25"/>
      <x:c r="D477" s="25"/>
      <x:c r="E477" s="25"/>
      <x:c r="F477" s="25"/>
      <x:c r="G477" s="25"/>
      <x:c r="H477" s="25"/>
      <x:c r="I477" s="25"/>
      <x:c r="J477" s="25"/>
      <x:c r="K477" s="25"/>
      <x:c r="L477" s="25"/>
      <x:c r="M477" s="25"/>
      <x:c r="N477" s="25"/>
      <x:c r="O477" s="25"/>
      <x:c r="P477" s="25"/>
      <x:c r="Q477" s="25"/>
      <x:c r="R477" s="25"/>
      <x:c r="S477" s="25"/>
      <x:c r="T477" s="25"/>
      <x:c r="U477" s="25"/>
      <x:c r="V477" s="25"/>
      <x:c r="W477" s="25"/>
      <x:c r="X477" s="25"/>
      <x:c r="Y477" s="25"/>
      <x:c r="Z477" s="25"/>
    </x:row>
    <x:row r="478">
      <x:c r="A478" s="25"/>
      <x:c r="B478" s="25"/>
      <x:c r="C478" s="25"/>
      <x:c r="D478" s="25"/>
      <x:c r="E478" s="25"/>
      <x:c r="F478" s="25"/>
      <x:c r="G478" s="25"/>
      <x:c r="H478" s="25"/>
      <x:c r="I478" s="25"/>
      <x:c r="J478" s="25"/>
      <x:c r="K478" s="25"/>
      <x:c r="L478" s="25"/>
      <x:c r="M478" s="25"/>
      <x:c r="N478" s="25"/>
      <x:c r="O478" s="25"/>
      <x:c r="P478" s="25"/>
      <x:c r="Q478" s="25"/>
      <x:c r="R478" s="25"/>
      <x:c r="S478" s="25"/>
      <x:c r="T478" s="25"/>
      <x:c r="U478" s="25"/>
      <x:c r="V478" s="25"/>
      <x:c r="W478" s="25"/>
      <x:c r="X478" s="25"/>
      <x:c r="Y478" s="25"/>
      <x:c r="Z478" s="25"/>
    </x:row>
    <x:row r="479">
      <x:c r="A479" s="25"/>
      <x:c r="B479" s="25"/>
      <x:c r="C479" s="25"/>
      <x:c r="D479" s="25"/>
      <x:c r="E479" s="25"/>
      <x:c r="F479" s="25"/>
      <x:c r="G479" s="25"/>
      <x:c r="H479" s="25"/>
      <x:c r="I479" s="25"/>
      <x:c r="J479" s="25"/>
      <x:c r="K479" s="25"/>
      <x:c r="L479" s="25"/>
      <x:c r="M479" s="25"/>
      <x:c r="N479" s="25"/>
      <x:c r="O479" s="25"/>
      <x:c r="P479" s="25"/>
      <x:c r="Q479" s="25"/>
      <x:c r="R479" s="25"/>
      <x:c r="S479" s="25"/>
      <x:c r="T479" s="25"/>
      <x:c r="U479" s="25"/>
      <x:c r="V479" s="25"/>
      <x:c r="W479" s="25"/>
      <x:c r="X479" s="25"/>
      <x:c r="Y479" s="25"/>
      <x:c r="Z479" s="25"/>
    </x:row>
    <x:row r="480">
      <x:c r="A480" s="25"/>
      <x:c r="B480" s="25"/>
      <x:c r="C480" s="25"/>
      <x:c r="D480" s="25"/>
      <x:c r="E480" s="25"/>
      <x:c r="F480" s="25"/>
      <x:c r="G480" s="25"/>
      <x:c r="H480" s="25"/>
      <x:c r="I480" s="25"/>
      <x:c r="J480" s="25"/>
      <x:c r="K480" s="25"/>
      <x:c r="L480" s="25"/>
      <x:c r="M480" s="25"/>
      <x:c r="N480" s="25"/>
      <x:c r="O480" s="25"/>
      <x:c r="P480" s="25"/>
      <x:c r="Q480" s="25"/>
      <x:c r="R480" s="25"/>
      <x:c r="S480" s="25"/>
      <x:c r="T480" s="25"/>
      <x:c r="U480" s="25"/>
      <x:c r="V480" s="25"/>
      <x:c r="W480" s="25"/>
      <x:c r="X480" s="25"/>
      <x:c r="Y480" s="25"/>
      <x:c r="Z480" s="25"/>
    </x:row>
    <x:row r="481">
      <x:c r="A481" s="25"/>
      <x:c r="B481" s="25"/>
      <x:c r="C481" s="25"/>
      <x:c r="D481" s="25"/>
      <x:c r="E481" s="25"/>
      <x:c r="F481" s="25"/>
      <x:c r="G481" s="25"/>
      <x:c r="H481" s="25"/>
      <x:c r="I481" s="25"/>
      <x:c r="J481" s="25"/>
      <x:c r="K481" s="25"/>
      <x:c r="L481" s="25"/>
      <x:c r="M481" s="25"/>
      <x:c r="N481" s="25"/>
      <x:c r="O481" s="25"/>
      <x:c r="P481" s="25"/>
      <x:c r="Q481" s="25"/>
      <x:c r="R481" s="25"/>
      <x:c r="S481" s="25"/>
      <x:c r="T481" s="25"/>
      <x:c r="U481" s="25"/>
      <x:c r="V481" s="25"/>
      <x:c r="W481" s="25"/>
      <x:c r="X481" s="25"/>
      <x:c r="Y481" s="25"/>
      <x:c r="Z481" s="25"/>
    </x:row>
    <x:row r="482">
      <x:c r="A482" s="25"/>
      <x:c r="B482" s="25"/>
      <x:c r="C482" s="25"/>
      <x:c r="D482" s="25"/>
      <x:c r="E482" s="25"/>
      <x:c r="F482" s="25"/>
      <x:c r="G482" s="25"/>
      <x:c r="H482" s="25"/>
      <x:c r="I482" s="25"/>
      <x:c r="J482" s="25"/>
      <x:c r="K482" s="25"/>
      <x:c r="L482" s="25"/>
      <x:c r="M482" s="25"/>
      <x:c r="N482" s="25"/>
      <x:c r="O482" s="25"/>
      <x:c r="P482" s="25"/>
      <x:c r="Q482" s="25"/>
      <x:c r="R482" s="25"/>
      <x:c r="S482" s="25"/>
      <x:c r="T482" s="25"/>
      <x:c r="U482" s="25"/>
      <x:c r="V482" s="25"/>
      <x:c r="W482" s="25"/>
      <x:c r="X482" s="25"/>
      <x:c r="Y482" s="25"/>
      <x:c r="Z482" s="25"/>
    </x:row>
    <x:row r="483">
      <x:c r="A483" s="25"/>
      <x:c r="B483" s="25"/>
      <x:c r="C483" s="25"/>
      <x:c r="D483" s="25"/>
      <x:c r="E483" s="25"/>
      <x:c r="F483" s="25"/>
      <x:c r="G483" s="25"/>
      <x:c r="H483" s="25"/>
      <x:c r="I483" s="25"/>
      <x:c r="J483" s="25"/>
      <x:c r="K483" s="25"/>
      <x:c r="L483" s="25"/>
      <x:c r="M483" s="25"/>
      <x:c r="N483" s="25"/>
      <x:c r="O483" s="25"/>
      <x:c r="P483" s="25"/>
      <x:c r="Q483" s="25"/>
      <x:c r="R483" s="25"/>
      <x:c r="S483" s="25"/>
      <x:c r="T483" s="25"/>
      <x:c r="U483" s="25"/>
      <x:c r="V483" s="25"/>
      <x:c r="W483" s="25"/>
      <x:c r="X483" s="25"/>
      <x:c r="Y483" s="25"/>
      <x:c r="Z483" s="25"/>
    </x:row>
    <x:row r="484">
      <x:c r="A484" s="25"/>
      <x:c r="B484" s="25"/>
      <x:c r="C484" s="25"/>
      <x:c r="D484" s="25"/>
      <x:c r="E484" s="25"/>
      <x:c r="F484" s="25"/>
      <x:c r="G484" s="25"/>
      <x:c r="H484" s="25"/>
      <x:c r="I484" s="25"/>
      <x:c r="J484" s="25"/>
      <x:c r="K484" s="25"/>
      <x:c r="L484" s="25"/>
      <x:c r="M484" s="25"/>
      <x:c r="N484" s="25"/>
      <x:c r="O484" s="25"/>
      <x:c r="P484" s="25"/>
      <x:c r="Q484" s="25"/>
      <x:c r="R484" s="25"/>
      <x:c r="S484" s="25"/>
      <x:c r="T484" s="25"/>
      <x:c r="U484" s="25"/>
      <x:c r="V484" s="25"/>
      <x:c r="W484" s="25"/>
      <x:c r="X484" s="25"/>
      <x:c r="Y484" s="25"/>
      <x:c r="Z484" s="25"/>
    </x:row>
    <x:row r="485">
      <x:c r="A485" s="25"/>
      <x:c r="B485" s="25"/>
      <x:c r="C485" s="25"/>
      <x:c r="D485" s="25"/>
      <x:c r="E485" s="25"/>
      <x:c r="F485" s="25"/>
      <x:c r="G485" s="25"/>
      <x:c r="H485" s="25"/>
      <x:c r="I485" s="25"/>
      <x:c r="J485" s="25"/>
      <x:c r="K485" s="25"/>
      <x:c r="L485" s="25"/>
      <x:c r="M485" s="25"/>
      <x:c r="N485" s="25"/>
      <x:c r="O485" s="25"/>
      <x:c r="P485" s="25"/>
      <x:c r="Q485" s="25"/>
      <x:c r="R485" s="25"/>
      <x:c r="S485" s="25"/>
      <x:c r="T485" s="25"/>
      <x:c r="U485" s="25"/>
      <x:c r="V485" s="25"/>
      <x:c r="W485" s="25"/>
      <x:c r="X485" s="25"/>
      <x:c r="Y485" s="25"/>
      <x:c r="Z485" s="25"/>
    </x:row>
    <x:row r="486">
      <x:c r="A486" s="25"/>
      <x:c r="B486" s="25"/>
      <x:c r="C486" s="25"/>
      <x:c r="D486" s="25"/>
      <x:c r="E486" s="25"/>
      <x:c r="F486" s="25"/>
      <x:c r="G486" s="25"/>
      <x:c r="H486" s="25"/>
      <x:c r="I486" s="25"/>
      <x:c r="J486" s="25"/>
      <x:c r="K486" s="25"/>
      <x:c r="L486" s="25"/>
      <x:c r="M486" s="25"/>
      <x:c r="N486" s="25"/>
      <x:c r="O486" s="25"/>
      <x:c r="P486" s="25"/>
      <x:c r="Q486" s="25"/>
      <x:c r="R486" s="25"/>
      <x:c r="S486" s="25"/>
      <x:c r="T486" s="25"/>
      <x:c r="U486" s="25"/>
      <x:c r="V486" s="25"/>
      <x:c r="W486" s="25"/>
      <x:c r="X486" s="25"/>
      <x:c r="Y486" s="25"/>
      <x:c r="Z486" s="25"/>
    </x:row>
    <x:row r="487">
      <x:c r="A487" s="25"/>
      <x:c r="B487" s="25"/>
      <x:c r="C487" s="25"/>
      <x:c r="D487" s="25"/>
      <x:c r="E487" s="25"/>
      <x:c r="F487" s="25"/>
      <x:c r="G487" s="25"/>
      <x:c r="H487" s="25"/>
      <x:c r="I487" s="25"/>
      <x:c r="J487" s="25"/>
      <x:c r="K487" s="25"/>
      <x:c r="L487" s="25"/>
      <x:c r="M487" s="25"/>
      <x:c r="N487" s="25"/>
      <x:c r="O487" s="25"/>
      <x:c r="P487" s="25"/>
      <x:c r="Q487" s="25"/>
      <x:c r="R487" s="25"/>
      <x:c r="S487" s="25"/>
      <x:c r="T487" s="25"/>
      <x:c r="U487" s="25"/>
      <x:c r="V487" s="25"/>
      <x:c r="W487" s="25"/>
      <x:c r="X487" s="25"/>
      <x:c r="Y487" s="25"/>
      <x:c r="Z487" s="25"/>
    </x:row>
    <x:row r="488">
      <x:c r="A488" s="25"/>
      <x:c r="B488" s="25"/>
      <x:c r="C488" s="25"/>
      <x:c r="D488" s="25"/>
      <x:c r="E488" s="25"/>
      <x:c r="F488" s="25"/>
      <x:c r="G488" s="25"/>
      <x:c r="H488" s="25"/>
      <x:c r="I488" s="25"/>
      <x:c r="J488" s="25"/>
      <x:c r="K488" s="25"/>
      <x:c r="L488" s="25"/>
      <x:c r="M488" s="25"/>
      <x:c r="N488" s="25"/>
      <x:c r="O488" s="25"/>
      <x:c r="P488" s="25"/>
      <x:c r="Q488" s="25"/>
      <x:c r="R488" s="25"/>
      <x:c r="S488" s="25"/>
      <x:c r="T488" s="25"/>
      <x:c r="U488" s="25"/>
      <x:c r="V488" s="25"/>
      <x:c r="W488" s="25"/>
      <x:c r="X488" s="25"/>
      <x:c r="Y488" s="25"/>
      <x:c r="Z488" s="25"/>
    </x:row>
    <x:row r="489">
      <x:c r="A489" s="25"/>
      <x:c r="B489" s="25"/>
      <x:c r="C489" s="25"/>
      <x:c r="D489" s="25"/>
      <x:c r="E489" s="25"/>
      <x:c r="F489" s="25"/>
      <x:c r="G489" s="25"/>
      <x:c r="H489" s="25"/>
      <x:c r="I489" s="25"/>
      <x:c r="J489" s="25"/>
      <x:c r="K489" s="25"/>
      <x:c r="L489" s="25"/>
      <x:c r="M489" s="25"/>
      <x:c r="N489" s="25"/>
      <x:c r="O489" s="25"/>
      <x:c r="P489" s="25"/>
      <x:c r="Q489" s="25"/>
      <x:c r="R489" s="25"/>
      <x:c r="S489" s="25"/>
      <x:c r="T489" s="25"/>
      <x:c r="U489" s="25"/>
      <x:c r="V489" s="25"/>
      <x:c r="W489" s="25"/>
      <x:c r="X489" s="25"/>
      <x:c r="Y489" s="25"/>
      <x:c r="Z489" s="25"/>
    </x:row>
    <x:row r="490">
      <x:c r="A490" s="25"/>
      <x:c r="B490" s="25"/>
      <x:c r="C490" s="25"/>
      <x:c r="D490" s="25"/>
      <x:c r="E490" s="25"/>
      <x:c r="F490" s="25"/>
      <x:c r="G490" s="25"/>
      <x:c r="H490" s="25"/>
      <x:c r="I490" s="25"/>
      <x:c r="J490" s="25"/>
      <x:c r="K490" s="25"/>
      <x:c r="L490" s="25"/>
      <x:c r="M490" s="25"/>
      <x:c r="N490" s="25"/>
      <x:c r="O490" s="25"/>
      <x:c r="P490" s="25"/>
      <x:c r="Q490" s="25"/>
      <x:c r="R490" s="25"/>
      <x:c r="S490" s="25"/>
      <x:c r="T490" s="25"/>
      <x:c r="U490" s="25"/>
      <x:c r="V490" s="25"/>
      <x:c r="W490" s="25"/>
      <x:c r="X490" s="25"/>
      <x:c r="Y490" s="25"/>
      <x:c r="Z490" s="25"/>
    </x:row>
    <x:row r="491">
      <x:c r="A491" s="25"/>
      <x:c r="B491" s="25"/>
      <x:c r="C491" s="25"/>
      <x:c r="D491" s="25"/>
      <x:c r="E491" s="25"/>
      <x:c r="F491" s="25"/>
      <x:c r="G491" s="25"/>
      <x:c r="H491" s="25"/>
      <x:c r="I491" s="25"/>
      <x:c r="J491" s="25"/>
      <x:c r="K491" s="25"/>
      <x:c r="L491" s="25"/>
      <x:c r="M491" s="25"/>
      <x:c r="N491" s="25"/>
      <x:c r="O491" s="25"/>
      <x:c r="P491" s="25"/>
      <x:c r="Q491" s="25"/>
      <x:c r="R491" s="25"/>
      <x:c r="S491" s="25"/>
      <x:c r="T491" s="25"/>
      <x:c r="U491" s="25"/>
      <x:c r="V491" s="25"/>
      <x:c r="W491" s="25"/>
      <x:c r="X491" s="25"/>
      <x:c r="Y491" s="25"/>
      <x:c r="Z491" s="25"/>
    </x:row>
    <x:row r="492">
      <x:c r="A492" s="25"/>
      <x:c r="B492" s="25"/>
      <x:c r="C492" s="25"/>
      <x:c r="D492" s="25"/>
      <x:c r="E492" s="25"/>
      <x:c r="F492" s="25"/>
      <x:c r="G492" s="25"/>
      <x:c r="H492" s="25"/>
      <x:c r="I492" s="25"/>
      <x:c r="J492" s="25"/>
      <x:c r="K492" s="25"/>
      <x:c r="L492" s="25"/>
      <x:c r="M492" s="25"/>
      <x:c r="N492" s="25"/>
      <x:c r="O492" s="25"/>
      <x:c r="P492" s="25"/>
      <x:c r="Q492" s="25"/>
      <x:c r="R492" s="25"/>
      <x:c r="S492" s="25"/>
      <x:c r="T492" s="25"/>
      <x:c r="U492" s="25"/>
      <x:c r="V492" s="25"/>
      <x:c r="W492" s="25"/>
      <x:c r="X492" s="25"/>
      <x:c r="Y492" s="25"/>
      <x:c r="Z492" s="25"/>
    </x:row>
    <x:row r="493">
      <x:c r="A493" s="25"/>
      <x:c r="B493" s="25"/>
      <x:c r="C493" s="25"/>
      <x:c r="D493" s="25"/>
      <x:c r="E493" s="25"/>
      <x:c r="F493" s="25"/>
      <x:c r="G493" s="25"/>
      <x:c r="H493" s="25"/>
      <x:c r="I493" s="25"/>
      <x:c r="J493" s="25"/>
      <x:c r="K493" s="25"/>
      <x:c r="L493" s="25"/>
      <x:c r="M493" s="25"/>
      <x:c r="N493" s="25"/>
      <x:c r="O493" s="25"/>
      <x:c r="P493" s="25"/>
      <x:c r="Q493" s="25"/>
      <x:c r="R493" s="25"/>
      <x:c r="S493" s="25"/>
      <x:c r="T493" s="25"/>
      <x:c r="U493" s="25"/>
      <x:c r="V493" s="25"/>
      <x:c r="W493" s="25"/>
      <x:c r="X493" s="25"/>
      <x:c r="Y493" s="25"/>
      <x:c r="Z493" s="25"/>
    </x:row>
    <x:row r="494">
      <x:c r="A494" s="25"/>
      <x:c r="B494" s="25"/>
      <x:c r="C494" s="25"/>
      <x:c r="D494" s="25"/>
      <x:c r="E494" s="25"/>
      <x:c r="F494" s="25"/>
      <x:c r="G494" s="25"/>
      <x:c r="H494" s="25"/>
      <x:c r="I494" s="25"/>
      <x:c r="J494" s="25"/>
      <x:c r="K494" s="25"/>
      <x:c r="L494" s="25"/>
      <x:c r="M494" s="25"/>
      <x:c r="N494" s="25"/>
      <x:c r="O494" s="25"/>
      <x:c r="P494" s="25"/>
      <x:c r="Q494" s="25"/>
      <x:c r="R494" s="25"/>
      <x:c r="S494" s="25"/>
      <x:c r="T494" s="25"/>
      <x:c r="U494" s="25"/>
      <x:c r="V494" s="25"/>
      <x:c r="W494" s="25"/>
      <x:c r="X494" s="25"/>
      <x:c r="Y494" s="25"/>
      <x:c r="Z494" s="25"/>
    </x:row>
    <x:row r="495">
      <x:c r="A495" s="25"/>
      <x:c r="B495" s="25"/>
      <x:c r="C495" s="25"/>
      <x:c r="D495" s="25"/>
      <x:c r="E495" s="25"/>
      <x:c r="F495" s="25"/>
      <x:c r="G495" s="25"/>
      <x:c r="H495" s="25"/>
      <x:c r="I495" s="25"/>
      <x:c r="J495" s="25"/>
      <x:c r="K495" s="25"/>
      <x:c r="L495" s="25"/>
      <x:c r="M495" s="25"/>
      <x:c r="N495" s="25"/>
      <x:c r="O495" s="25"/>
      <x:c r="P495" s="25"/>
      <x:c r="Q495" s="25"/>
      <x:c r="R495" s="25"/>
      <x:c r="S495" s="25"/>
      <x:c r="T495" s="25"/>
      <x:c r="U495" s="25"/>
      <x:c r="V495" s="25"/>
      <x:c r="W495" s="25"/>
      <x:c r="X495" s="25"/>
      <x:c r="Y495" s="25"/>
      <x:c r="Z495" s="25"/>
    </x:row>
    <x:row r="496">
      <x:c r="A496" s="25"/>
      <x:c r="B496" s="25"/>
      <x:c r="C496" s="25"/>
      <x:c r="D496" s="25"/>
      <x:c r="E496" s="25"/>
      <x:c r="F496" s="25"/>
      <x:c r="G496" s="25"/>
      <x:c r="H496" s="25"/>
      <x:c r="I496" s="25"/>
      <x:c r="J496" s="25"/>
      <x:c r="K496" s="25"/>
      <x:c r="L496" s="25"/>
      <x:c r="M496" s="25"/>
      <x:c r="N496" s="25"/>
      <x:c r="O496" s="25"/>
      <x:c r="P496" s="25"/>
      <x:c r="Q496" s="25"/>
      <x:c r="R496" s="25"/>
      <x:c r="S496" s="25"/>
      <x:c r="T496" s="25"/>
      <x:c r="U496" s="25"/>
      <x:c r="V496" s="25"/>
      <x:c r="W496" s="25"/>
      <x:c r="X496" s="25"/>
      <x:c r="Y496" s="25"/>
      <x:c r="Z496" s="25"/>
    </x:row>
    <x:row r="497">
      <x:c r="A497" s="25"/>
      <x:c r="B497" s="25"/>
      <x:c r="C497" s="25"/>
      <x:c r="D497" s="25"/>
      <x:c r="E497" s="25"/>
      <x:c r="F497" s="25"/>
      <x:c r="G497" s="25"/>
      <x:c r="H497" s="25"/>
      <x:c r="I497" s="25"/>
      <x:c r="J497" s="25"/>
      <x:c r="K497" s="25"/>
      <x:c r="L497" s="25"/>
      <x:c r="M497" s="25"/>
      <x:c r="N497" s="25"/>
      <x:c r="O497" s="25"/>
      <x:c r="P497" s="25"/>
      <x:c r="Q497" s="25"/>
      <x:c r="R497" s="25"/>
      <x:c r="S497" s="25"/>
      <x:c r="T497" s="25"/>
      <x:c r="U497" s="25"/>
      <x:c r="V497" s="25"/>
      <x:c r="W497" s="25"/>
      <x:c r="X497" s="25"/>
      <x:c r="Y497" s="25"/>
      <x:c r="Z497" s="25"/>
    </x:row>
    <x:row r="498">
      <x:c r="A498" s="25"/>
      <x:c r="B498" s="25"/>
      <x:c r="C498" s="25"/>
      <x:c r="D498" s="25"/>
      <x:c r="E498" s="25"/>
      <x:c r="F498" s="25"/>
      <x:c r="G498" s="25"/>
      <x:c r="H498" s="25"/>
      <x:c r="I498" s="25"/>
      <x:c r="J498" s="25"/>
      <x:c r="K498" s="25"/>
      <x:c r="L498" s="25"/>
      <x:c r="M498" s="25"/>
      <x:c r="N498" s="25"/>
      <x:c r="O498" s="25"/>
      <x:c r="P498" s="25"/>
      <x:c r="Q498" s="25"/>
      <x:c r="R498" s="25"/>
      <x:c r="S498" s="25"/>
      <x:c r="T498" s="25"/>
      <x:c r="U498" s="25"/>
      <x:c r="V498" s="25"/>
      <x:c r="W498" s="25"/>
      <x:c r="X498" s="25"/>
      <x:c r="Y498" s="25"/>
      <x:c r="Z498" s="25"/>
    </x:row>
    <x:row r="499">
      <x:c r="A499" s="25"/>
      <x:c r="B499" s="25"/>
      <x:c r="C499" s="25"/>
      <x:c r="D499" s="25"/>
      <x:c r="E499" s="25"/>
      <x:c r="F499" s="25"/>
      <x:c r="G499" s="25"/>
      <x:c r="H499" s="25"/>
      <x:c r="I499" s="25"/>
      <x:c r="J499" s="25"/>
      <x:c r="K499" s="25"/>
      <x:c r="L499" s="25"/>
      <x:c r="M499" s="25"/>
      <x:c r="N499" s="25"/>
      <x:c r="O499" s="25"/>
      <x:c r="P499" s="25"/>
      <x:c r="Q499" s="25"/>
      <x:c r="R499" s="25"/>
      <x:c r="S499" s="25"/>
      <x:c r="T499" s="25"/>
      <x:c r="U499" s="25"/>
      <x:c r="V499" s="25"/>
      <x:c r="W499" s="25"/>
      <x:c r="X499" s="25"/>
      <x:c r="Y499" s="25"/>
      <x:c r="Z499" s="25"/>
    </x:row>
    <x:row r="500">
      <x:c r="A500" s="25"/>
      <x:c r="B500" s="25"/>
      <x:c r="C500" s="25"/>
      <x:c r="D500" s="25"/>
      <x:c r="E500" s="25"/>
      <x:c r="F500" s="25"/>
      <x:c r="G500" s="25"/>
      <x:c r="H500" s="25"/>
      <x:c r="I500" s="25"/>
      <x:c r="J500" s="25"/>
      <x:c r="K500" s="25"/>
      <x:c r="L500" s="25"/>
      <x:c r="M500" s="25"/>
      <x:c r="N500" s="25"/>
      <x:c r="O500" s="25"/>
      <x:c r="P500" s="25"/>
      <x:c r="Q500" s="25"/>
      <x:c r="R500" s="25"/>
      <x:c r="S500" s="25"/>
      <x:c r="T500" s="25"/>
      <x:c r="U500" s="25"/>
      <x:c r="V500" s="25"/>
      <x:c r="W500" s="25"/>
      <x:c r="X500" s="25"/>
      <x:c r="Y500" s="25"/>
      <x:c r="Z500" s="25"/>
    </x:row>
  </x:sheetData>
  <x:conditionalFormatting sqref="S2:S22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R2:R229">
    <x:cfRule type="cellIs" dxfId="0" priority="2" operator="greaterThanOrEqual">
      <x:formula>4</x:formula>
    </x:cfRule>
  </x:conditionalFormatting>
  <x:dataValidations count="2">
    <x:dataValidation type="list" sqref="K2:K229">
      <x:formula1>"v0.1,v0.2,v1.0,Future"</x:formula1>
    </x:dataValidation>
    <x:dataValidation type="list" sqref="L2:L229">
      <x:formula1>"P0,P1,P2,Future"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d3c4230ca94d3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8" hidden="0" customWidth="1"/>
    <x:col min="4" max="4" width="18" hidden="0" customWidth="1"/>
    <x:col min="5" max="5" width="28" hidden="0" customWidth="1"/>
    <x:col min="6" max="6" width="34" hidden="0" customWidth="1"/>
    <x:col min="7" max="7" width="58" hidden="0" customWidth="1"/>
    <x:col min="8" max="8" width="24" hidden="0" customWidth="1"/>
  </x:cols>
  <x:sheetData>
    <x:row r="1">
      <x:c r="A1" s="26" t="str">
        <x:v>Build Order</x:v>
      </x:c>
      <x:c r="B1" s="26" t="str">
        <x:v>Feature ID</x:v>
      </x:c>
      <x:c r="C1" s="26" t="str">
        <x:v>Domain</x:v>
      </x:c>
      <x:c r="D1" s="26" t="str">
        <x:v>Module</x:v>
      </x:c>
      <x:c r="E1" s="26" t="str">
        <x:v>Feature</x:v>
      </x:c>
      <x:c r="F1" s="26" t="str">
        <x:v>Why in v0.1</x:v>
      </x:c>
      <x:c r="G1" s="26" t="str">
        <x:v>Acceptance / Done Definition</x:v>
      </x:c>
      <x:c r="H1" s="26" t="str">
        <x:v>Backend/Event</x:v>
      </x:c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s="14" t="n">
        <x:v>1</x:v>
      </x:c>
      <x:c r="B2" s="14" t="str">
        <x:v>PLI-211</x:v>
      </x:c>
      <x:c r="C2" s="14" t="str">
        <x:v>16 Platform, Data &amp; Safety</x:v>
      </x:c>
      <x:c r="D2" s="14" t="str">
        <x:v>Event Graph</x:v>
      </x:c>
      <x:c r="E2" s="14" t="str">
        <x:v>Canonical Pet Life Event Schema</x:v>
      </x:c>
      <x:c r="F2" s="14" t="str">
        <x:v>首版底座/安全必需</x:v>
      </x:c>
      <x:c r="G2" s="14" t="str">
        <x:v>用户可完成“Canonical Pet Life Event Schema”的完整主路径；关键操作生成 SchemaEvent；失败/无权限/重复提交有明确状态。</x:v>
      </x:c>
      <x:c r="H2" s="14" t="str">
        <x:v>SchemaEvent</x:v>
      </x:c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</x:row>
    <x:row r="3">
      <x:c r="A3" s="14" t="n">
        <x:v>2</x:v>
      </x:c>
      <x:c r="B3" s="14" t="str">
        <x:v>PLI-212</x:v>
      </x:c>
      <x:c r="C3" s="14" t="str">
        <x:v>16 Platform, Data &amp; Safety</x:v>
      </x:c>
      <x:c r="D3" s="14" t="str">
        <x:v>Provenance</x:v>
      </x:c>
      <x:c r="E3" s="14" t="str">
        <x:v>来源等级</x:v>
      </x:c>
      <x:c r="F3" s="14" t="str">
        <x:v>首版底座/安全必需</x:v>
      </x:c>
      <x:c r="G3" s="14" t="str">
        <x:v>用户可完成“来源等级”的完整主路径；关键操作生成 ProvenanceAttached；失败/无权限/重复提交有明确状态。</x:v>
      </x:c>
      <x:c r="H3" s="14" t="str">
        <x:v>ProvenanceAttached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14" t="n">
        <x:v>3</x:v>
      </x:c>
      <x:c r="B4" s="14" t="str">
        <x:v>PLI-219</x:v>
      </x:c>
      <x:c r="C4" s="14" t="str">
        <x:v>16 Platform, Data &amp; Safety</x:v>
      </x:c>
      <x:c r="D4" s="14" t="str">
        <x:v>Notifications</x:v>
      </x:c>
      <x:c r="E4" s="14" t="str">
        <x:v>统一通知中心</x:v>
      </x:c>
      <x:c r="F4" s="14" t="str">
        <x:v>首版底座/安全必需</x:v>
      </x:c>
      <x:c r="G4" s="14" t="str">
        <x:v>用户可完成“统一通知中心”的完整主路径；关键操作生成 NotificationCreated；失败/无权限/重复提交有明确状态。</x:v>
      </x:c>
      <x:c r="H4" s="14" t="str">
        <x:v>NotificationCreated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14" t="n">
        <x:v>4</x:v>
      </x:c>
      <x:c r="B5" s="14" t="str">
        <x:v>PLI-221</x:v>
      </x:c>
      <x:c r="C5" s="14" t="str">
        <x:v>16 Platform, Data &amp; Safety</x:v>
      </x:c>
      <x:c r="D5" s="14" t="str">
        <x:v>Reliability</x:v>
      </x:c>
      <x:c r="E5" s="14" t="str">
        <x:v>事件幂等与重复检测</x:v>
      </x:c>
      <x:c r="F5" s="14" t="str">
        <x:v>首版底座/安全必需</x:v>
      </x:c>
      <x:c r="G5" s="14" t="str">
        <x:v>用户可完成“事件幂等与重复检测”的完整主路径；关键操作生成 DuplicateEventDetected；失败/无权限/重复提交有明确状态。</x:v>
      </x:c>
      <x:c r="H5" s="14" t="str">
        <x:v>DuplicateEventDetected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14" t="n">
        <x:v>5</x:v>
      </x:c>
      <x:c r="B6" s="14" t="str">
        <x:v>PLI-213</x:v>
      </x:c>
      <x:c r="C6" s="14" t="str">
        <x:v>16 Platform, Data &amp; Safety</x:v>
      </x:c>
      <x:c r="D6" s="14" t="str">
        <x:v>Versioning</x:v>
      </x:c>
      <x:c r="E6" s="14" t="str">
        <x:v>记录不可静默覆盖</x:v>
      </x:c>
      <x:c r="F6" s="14" t="str">
        <x:v>首版底座/安全必需</x:v>
      </x:c>
      <x:c r="G6" s="14" t="str">
        <x:v>用户可完成“记录不可静默覆盖”的完整主路径；关键操作生成 RecordVersioned；失败/无权限/重复提交有明确状态。</x:v>
      </x:c>
      <x:c r="H6" s="14" t="str">
        <x:v>RecordVersioned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14" t="n">
        <x:v>6</x:v>
      </x:c>
      <x:c r="B7" s="14" t="str">
        <x:v>PLI-214</x:v>
      </x:c>
      <x:c r="C7" s="14" t="str">
        <x:v>16 Platform, Data &amp; Safety</x:v>
      </x:c>
      <x:c r="D7" s="14" t="str">
        <x:v>AI Provenance</x:v>
      </x:c>
      <x:c r="E7" s="14" t="str">
        <x:v>模型/规则版本追踪</x:v>
      </x:c>
      <x:c r="F7" s="14" t="str">
        <x:v>首版底座/安全必需</x:v>
      </x:c>
      <x:c r="G7" s="14" t="str">
        <x:v>用户可完成“模型/规则版本追踪”的完整主路径；关键操作生成 AIInferenceLogged；失败/无权限/重复提交有明确状态。</x:v>
      </x:c>
      <x:c r="H7" s="14" t="str">
        <x:v>AIInferenceLogged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14" t="n">
        <x:v>7</x:v>
      </x:c>
      <x:c r="B8" s="14" t="str">
        <x:v>PLI-215</x:v>
      </x:c>
      <x:c r="C8" s="14" t="str">
        <x:v>16 Platform, Data &amp; Safety</x:v>
      </x:c>
      <x:c r="D8" s="14" t="str">
        <x:v>Consent</x:v>
      </x:c>
      <x:c r="E8" s="14" t="str">
        <x:v>细粒度同意中心</x:v>
      </x:c>
      <x:c r="F8" s="14" t="str">
        <x:v>首版底座/安全必需</x:v>
      </x:c>
      <x:c r="G8" s="14" t="str">
        <x:v>用户可完成“细粒度同意中心”的完整主路径；关键操作生成 ConsentChanged；失败/无权限/重复提交有明确状态。</x:v>
      </x:c>
      <x:c r="H8" s="14" t="str">
        <x:v>ConsentChanged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14" t="n">
        <x:v>8</x:v>
      </x:c>
      <x:c r="B9" s="14" t="str">
        <x:v>PLI-227</x:v>
      </x:c>
      <x:c r="C9" s="14" t="str">
        <x:v>16 Platform, Data &amp; Safety</x:v>
      </x:c>
      <x:c r="D9" s="14" t="str">
        <x:v>Evaluation</x:v>
      </x:c>
      <x:c r="E9" s="14" t="str">
        <x:v>AI离线评测框架</x:v>
      </x:c>
      <x:c r="F9" s="14" t="str">
        <x:v>首版底座/安全必需</x:v>
      </x:c>
      <x:c r="G9" s="14" t="str">
        <x:v>用户可完成“AI离线评测框架”的完整主路径；关键操作生成 ModelEvaluationRun；失败/无权限/重复提交有明确状态。</x:v>
      </x:c>
      <x:c r="H9" s="14" t="str">
        <x:v>ModelEvaluationRun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14" t="n">
        <x:v>9</x:v>
      </x:c>
      <x:c r="B10" s="14" t="str">
        <x:v>PLI-217</x:v>
      </x:c>
      <x:c r="C10" s="14" t="str">
        <x:v>16 Platform, Data &amp; Safety</x:v>
      </x:c>
      <x:c r="D10" s="14" t="str">
        <x:v>Security</x:v>
      </x:c>
      <x:c r="E10" s="14" t="str">
        <x:v>登录与设备安全</x:v>
      </x:c>
      <x:c r="F10" s="14" t="str">
        <x:v>首版底座/安全必需</x:v>
      </x:c>
      <x:c r="G10" s="14" t="str">
        <x:v>用户可完成“登录与设备安全”的完整主路径；关键操作生成 SecurityEvent；失败/无权限/重复提交有明确状态。</x:v>
      </x:c>
      <x:c r="H10" s="14" t="str">
        <x:v>SecurityEvent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14" t="n">
        <x:v>10</x:v>
      </x:c>
      <x:c r="B11" s="14" t="str">
        <x:v>PLI-216</x:v>
      </x:c>
      <x:c r="C11" s="14" t="str">
        <x:v>16 Platform, Data &amp; Safety</x:v>
      </x:c>
      <x:c r="D11" s="14" t="str">
        <x:v>Deletion</x:v>
      </x:c>
      <x:c r="E11" s="14" t="str">
        <x:v>删除与保留策略</x:v>
      </x:c>
      <x:c r="F11" s="14" t="str">
        <x:v>首版底座/安全必需</x:v>
      </x:c>
      <x:c r="G11" s="14" t="str">
        <x:v>用户可完成“删除与保留策略”的完整主路径；关键操作生成 DeletionRequested；失败/无权限/重复提交有明确状态。</x:v>
      </x:c>
      <x:c r="H11" s="14" t="str">
        <x:v>DeletionRequested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14" t="n">
        <x:v>11</x:v>
      </x:c>
      <x:c r="B12" s="14" t="str">
        <x:v>PLI-002</x:v>
      </x:c>
      <x:c r="C12" s="14" t="str">
        <x:v>01 Identity &amp; Permissions</x:v>
      </x:c>
      <x:c r="D12" s="14" t="str">
        <x:v>Pet ID</x:v>
      </x:c>
      <x:c r="E12" s="14" t="str">
        <x:v>多宠家庭管理</x:v>
      </x:c>
      <x:c r="F12" s="14" t="str">
        <x:v>建立同一只宠物与权限连续性</x:v>
      </x:c>
      <x:c r="G12" s="14" t="str">
        <x:v>用户可完成“多宠家庭管理”的完整主路径；关键操作生成 PetLinkedToHousehold；失败/无权限/重复提交有明确状态。</x:v>
      </x:c>
      <x:c r="H12" s="14" t="str">
        <x:v>PetLinkedToHousehold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14" t="n">
        <x:v>12</x:v>
      </x:c>
      <x:c r="B13" s="14" t="str">
        <x:v>PLI-001</x:v>
      </x:c>
      <x:c r="C13" s="14" t="str">
        <x:v>01 Identity &amp; Permissions</x:v>
      </x:c>
      <x:c r="D13" s="14" t="str">
        <x:v>Pet ID</x:v>
      </x:c>
      <x:c r="E13" s="14" t="str">
        <x:v>创建宠物主档</x:v>
      </x:c>
      <x:c r="F13" s="14" t="str">
        <x:v>建立同一只宠物与权限连续性</x:v>
      </x:c>
      <x:c r="G13" s="14" t="str">
        <x:v>用户可完成“创建宠物主档”的完整主路径；关键操作生成 PetCreated；失败/无权限/重复提交有明确状态。</x:v>
      </x:c>
      <x:c r="H13" s="14" t="str">
        <x:v>PetCreated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14" t="n">
        <x:v>13</x:v>
      </x:c>
      <x:c r="B14" s="14" t="str">
        <x:v>PLI-008</x:v>
      </x:c>
      <x:c r="C14" s="14" t="str">
        <x:v>01 Identity &amp; Permissions</x:v>
      </x:c>
      <x:c r="D14" s="14" t="str">
        <x:v>Ownership</x:v>
      </x:c>
      <x:c r="E14" s="14" t="str">
        <x:v>Owner / Co-owner关系</x:v>
      </x:c>
      <x:c r="F14" s="14" t="str">
        <x:v>建立同一只宠物与权限连续性</x:v>
      </x:c>
      <x:c r="G14" s="14" t="str">
        <x:v>用户可完成“Owner / Co-owner关系”的完整主路径；关键操作生成 RelationshipCreated；失败/无权限/重复提交有明确状态。</x:v>
      </x:c>
      <x:c r="H14" s="14" t="str">
        <x:v>RelationshipCreated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14" t="n">
        <x:v>14</x:v>
      </x:c>
      <x:c r="B15" s="14" t="str">
        <x:v>PLI-010</x:v>
      </x:c>
      <x:c r="C15" s="14" t="str">
        <x:v>01 Identity &amp; Permissions</x:v>
      </x:c>
      <x:c r="D15" s="14" t="str">
        <x:v>Permissions</x:v>
      </x:c>
      <x:c r="E15" s="14" t="str">
        <x:v>角色权限模型</x:v>
      </x:c>
      <x:c r="F15" s="14" t="str">
        <x:v>建立同一只宠物与权限连续性</x:v>
      </x:c>
      <x:c r="G15" s="14" t="str">
        <x:v>用户可完成“角色权限模型”的完整主路径；关键操作生成 GrantChanged；失败/无权限/重复提交有明确状态。</x:v>
      </x:c>
      <x:c r="H15" s="14" t="str">
        <x:v>GrantChanged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14" t="n">
        <x:v>15</x:v>
      </x:c>
      <x:c r="B16" s="14" t="str">
        <x:v>PLI-011</x:v>
      </x:c>
      <x:c r="C16" s="14" t="str">
        <x:v>01 Identity &amp; Permissions</x:v>
      </x:c>
      <x:c r="D16" s="14" t="str">
        <x:v>Permissions</x:v>
      </x:c>
      <x:c r="E16" s="14" t="str">
        <x:v>临时权限与自动到期</x:v>
      </x:c>
      <x:c r="F16" s="14" t="str">
        <x:v>建立同一只宠物与权限连续性</x:v>
      </x:c>
      <x:c r="G16" s="14" t="str">
        <x:v>用户可完成“临时权限与自动到期”的完整主路径；关键操作生成 GrantExpired；失败/无权限/重复提交有明确状态。</x:v>
      </x:c>
      <x:c r="H16" s="14" t="str">
        <x:v>GrantExpired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14" t="n">
        <x:v>16</x:v>
      </x:c>
      <x:c r="B17" s="14" t="str">
        <x:v>PLI-003</x:v>
      </x:c>
      <x:c r="C17" s="14" t="str">
        <x:v>01 Identity &amp; Permissions</x:v>
      </x:c>
      <x:c r="D17" s="14" t="str">
        <x:v>Pet ID</x:v>
      </x:c>
      <x:c r="E17" s="14" t="str">
        <x:v>头像与视觉档案</x:v>
      </x:c>
      <x:c r="F17" s="14" t="str">
        <x:v>建立同一只宠物与权限连续性</x:v>
      </x:c>
      <x:c r="G17" s="14" t="str">
        <x:v>用户可完成“头像与视觉档案”的完整主路径；关键操作生成 PetMediaAdded；失败/无权限/重复提交有明确状态。</x:v>
      </x:c>
      <x:c r="H17" s="14" t="str">
        <x:v>PetMediaAdded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14" t="n">
        <x:v>17</x:v>
      </x:c>
      <x:c r="B18" s="14" t="str">
        <x:v>PLI-014</x:v>
      </x:c>
      <x:c r="C18" s="14" t="str">
        <x:v>01 Identity &amp; Permissions</x:v>
      </x:c>
      <x:c r="D18" s="14" t="str">
        <x:v>Emergency</x:v>
      </x:c>
      <x:c r="E18" s="14" t="str">
        <x:v>紧急联系人卡</x:v>
      </x:c>
      <x:c r="F18" s="14" t="str">
        <x:v>建立同一只宠物与权限连续性</x:v>
      </x:c>
      <x:c r="G18" s="14" t="str">
        <x:v>用户可完成“紧急联系人卡”的完整主路径；关键操作生成 EmergencyProfileUpdated；失败/无权限/重复提交有明确状态。</x:v>
      </x:c>
      <x:c r="H18" s="14" t="str">
        <x:v>EmergencyProfileUpdated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14" t="n">
        <x:v>18</x:v>
      </x:c>
      <x:c r="B19" s="14" t="str">
        <x:v>PLI-016</x:v>
      </x:c>
      <x:c r="C19" s="14" t="str">
        <x:v>01 Identity &amp; Permissions</x:v>
      </x:c>
      <x:c r="D19" s="14" t="str">
        <x:v>Consent</x:v>
      </x:c>
      <x:c r="E19" s="14" t="str">
        <x:v>数据用途与研究同意</x:v>
      </x:c>
      <x:c r="F19" s="14" t="str">
        <x:v>建立同一只宠物与权限连续性</x:v>
      </x:c>
      <x:c r="G19" s="14" t="str">
        <x:v>用户可完成“数据用途与研究同意”的完整主路径；关键操作生成 ConsentChanged；失败/无权限/重复提交有明确状态。</x:v>
      </x:c>
      <x:c r="H19" s="14" t="str">
        <x:v>ConsentChanged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14" t="n">
        <x:v>19</x:v>
      </x:c>
      <x:c r="B20" s="14" t="str">
        <x:v>PLI-185</x:v>
      </x:c>
      <x:c r="C20" s="14" t="str">
        <x:v>14 Life Timeline &amp; Archive</x:v>
      </x:c>
      <x:c r="D20" s="14" t="str">
        <x:v>Timeline</x:v>
      </x:c>
      <x:c r="E20" s="14" t="str">
        <x:v>统一生命时间线</x:v>
      </x:c>
      <x:c r="F20" s="14" t="str">
        <x:v>建立统一生命时间线</x:v>
      </x:c>
      <x:c r="G20" s="14" t="str">
        <x:v>用户可完成“统一生命时间线”的完整主路径；关键操作生成 TimelineViewed；失败/无权限/重复提交有明确状态。</x:v>
      </x:c>
      <x:c r="H20" s="14" t="str">
        <x:v>TimelineViewed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14" t="n">
        <x:v>20</x:v>
      </x:c>
      <x:c r="B21" s="14" t="str">
        <x:v>PLI-186</x:v>
      </x:c>
      <x:c r="C21" s="14" t="str">
        <x:v>14 Life Timeline &amp; Archive</x:v>
      </x:c>
      <x:c r="D21" s="14" t="str">
        <x:v>Timeline</x:v>
      </x:c>
      <x:c r="E21" s="14" t="str">
        <x:v>事件过滤与视图</x:v>
      </x:c>
      <x:c r="F21" s="14" t="str">
        <x:v>建立统一生命时间线</x:v>
      </x:c>
      <x:c r="G21" s="14" t="str">
        <x:v>用户可完成“事件过滤与视图”的完整主路径；关键操作生成 TimelineFiltered；失败/无权限/重复提交有明确状态。</x:v>
      </x:c>
      <x:c r="H21" s="14" t="str">
        <x:v>TimelineFiltered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14" t="n">
        <x:v>21</x:v>
      </x:c>
      <x:c r="B22" s="14" t="str">
        <x:v>PLI-017</x:v>
      </x:c>
      <x:c r="C22" s="14" t="str">
        <x:v>02 Today &amp; Daily Life</x:v>
      </x:c>
      <x:c r="D22" s="14" t="str">
        <x:v>Today</x:v>
      </x:c>
      <x:c r="E22" s="14" t="str">
        <x:v>今日总览</x:v>
      </x:c>
      <x:c r="F22" s="14" t="str">
        <x:v>形成每日高频使用与纵向数据</x:v>
      </x:c>
      <x:c r="G22" s="14" t="str">
        <x:v>用户可完成“今日总览”的完整主路径；关键操作生成 DailySummaryViewed；失败/无权限/重复提交有明确状态。</x:v>
      </x:c>
      <x:c r="H22" s="14" t="str">
        <x:v>DailySummaryViewed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14" t="n">
        <x:v>22</x:v>
      </x:c>
      <x:c r="B23" s="14" t="str">
        <x:v>PLI-019</x:v>
      </x:c>
      <x:c r="C23" s="14" t="str">
        <x:v>02 Today &amp; Daily Life</x:v>
      </x:c>
      <x:c r="D23" s="14" t="str">
        <x:v>Feeding</x:v>
      </x:c>
      <x:c r="E23" s="14" t="str">
        <x:v>喂食记录</x:v>
      </x:c>
      <x:c r="F23" s="14" t="str">
        <x:v>形成每日高频使用与纵向数据</x:v>
      </x:c>
      <x:c r="G23" s="14" t="str">
        <x:v>用户可完成“喂食记录”的完整主路径；关键操作生成 MealEvent；失败/无权限/重复提交有明确状态。</x:v>
      </x:c>
      <x:c r="H23" s="14" t="str">
        <x:v>MealEvent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14" t="n">
        <x:v>23</x:v>
      </x:c>
      <x:c r="B24" s="14" t="str">
        <x:v>PLI-018</x:v>
      </x:c>
      <x:c r="C24" s="14" t="str">
        <x:v>02 Today &amp; Daily Life</x:v>
      </x:c>
      <x:c r="D24" s="14" t="str">
        <x:v>Today</x:v>
      </x:c>
      <x:c r="E24" s="14" t="str">
        <x:v>快速记录入口</x:v>
      </x:c>
      <x:c r="F24" s="14" t="str">
        <x:v>形成每日高频使用与纵向数据</x:v>
      </x:c>
      <x:c r="G24" s="14" t="str">
        <x:v>用户可完成“快速记录入口”的完整主路径；关键操作生成 LifeEventCreated；失败/无权限/重复提交有明确状态。</x:v>
      </x:c>
      <x:c r="H24" s="14" t="str">
        <x:v>LifeEventCreated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14" t="n">
        <x:v>24</x:v>
      </x:c>
      <x:c r="B25" s="14" t="str">
        <x:v>PLI-027</x:v>
      </x:c>
      <x:c r="C25" s="14" t="str">
        <x:v>02 Today &amp; Daily Life</x:v>
      </x:c>
      <x:c r="D25" s="14" t="str">
        <x:v>Tasks</x:v>
      </x:c>
      <x:c r="E25" s="14" t="str">
        <x:v>完成与责任人</x:v>
      </x:c>
      <x:c r="F25" s="14" t="str">
        <x:v>形成每日高频使用与纵向数据</x:v>
      </x:c>
      <x:c r="G25" s="14" t="str">
        <x:v>用户可完成“完成与责任人”的完整主路径；关键操作生成 CareTaskCompleted；失败/无权限/重复提交有明确状态。</x:v>
      </x:c>
      <x:c r="H25" s="14" t="str">
        <x:v>CareTaskCompleted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14" t="n">
        <x:v>25</x:v>
      </x:c>
      <x:c r="B26" s="14" t="str">
        <x:v>PLI-026</x:v>
      </x:c>
      <x:c r="C26" s="14" t="str">
        <x:v>02 Today &amp; Daily Life</x:v>
      </x:c>
      <x:c r="D26" s="14" t="str">
        <x:v>Tasks</x:v>
      </x:c>
      <x:c r="E26" s="14" t="str">
        <x:v>照护任务</x:v>
      </x:c>
      <x:c r="F26" s="14" t="str">
        <x:v>形成每日高频使用与纵向数据</x:v>
      </x:c>
      <x:c r="G26" s="14" t="str">
        <x:v>用户可完成“照护任务”的完整主路径；关键操作生成 CareTaskCreated；失败/无权限/重复提交有明确状态。</x:v>
      </x:c>
      <x:c r="H26" s="14" t="str">
        <x:v>CareTaskCreated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14" t="n">
        <x:v>26</x:v>
      </x:c>
      <x:c r="B27" s="14" t="str">
        <x:v>PLI-025</x:v>
      </x:c>
      <x:c r="C27" s="14" t="str">
        <x:v>02 Today &amp; Daily Life</x:v>
      </x:c>
      <x:c r="D27" s="14" t="str">
        <x:v>Weight</x:v>
      </x:c>
      <x:c r="E27" s="14" t="str">
        <x:v>体重与体况趋势</x:v>
      </x:c>
      <x:c r="F27" s="14" t="str">
        <x:v>形成每日高频使用与纵向数据</x:v>
      </x:c>
      <x:c r="G27" s="14" t="str">
        <x:v>用户可完成“体重与体况趋势”的完整主路径；关键操作生成 WeightObservation；失败/无权限/重复提交有明确状态。</x:v>
      </x:c>
      <x:c r="H27" s="14" t="str">
        <x:v>WeightObservation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14" t="n">
        <x:v>27</x:v>
      </x:c>
      <x:c r="B28" s="14" t="str">
        <x:v>PLI-021</x:v>
      </x:c>
      <x:c r="C28" s="14" t="str">
        <x:v>02 Today &amp; Daily Life</x:v>
      </x:c>
      <x:c r="D28" s="14" t="str">
        <x:v>Toilet</x:v>
      </x:c>
      <x:c r="E28" s="14" t="str">
        <x:v>排泄记录</x:v>
      </x:c>
      <x:c r="F28" s="14" t="str">
        <x:v>形成每日高频使用与纵向数据</x:v>
      </x:c>
      <x:c r="G28" s="14" t="str">
        <x:v>用户可完成“排泄记录”的完整主路径；关键操作生成 EliminationEvent；失败/无权限/重复提交有明确状态。</x:v>
      </x:c>
      <x:c r="H28" s="14" t="str">
        <x:v>EliminationEvent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14" t="n">
        <x:v>28</x:v>
      </x:c>
      <x:c r="B29" s="14" t="str">
        <x:v>PLI-022</x:v>
      </x:c>
      <x:c r="C29" s="14" t="str">
        <x:v>02 Today &amp; Daily Life</x:v>
      </x:c>
      <x:c r="D29" s="14" t="str">
        <x:v>Walk</x:v>
      </x:c>
      <x:c r="E29" s="14" t="str">
        <x:v>散步与户外活动</x:v>
      </x:c>
      <x:c r="F29" s="14" t="str">
        <x:v>形成每日高频使用与纵向数据</x:v>
      </x:c>
      <x:c r="G29" s="14" t="str">
        <x:v>用户可完成“散步与户外活动”的完整主路径；关键操作生成 WalkEvent；失败/无权限/重复提交有明确状态。</x:v>
      </x:c>
      <x:c r="H29" s="14" t="str">
        <x:v>WalkEvent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14" t="n">
        <x:v>29</x:v>
      </x:c>
      <x:c r="B30" s="14" t="str">
        <x:v>PLI-020</x:v>
      </x:c>
      <x:c r="C30" s="14" t="str">
        <x:v>02 Today &amp; Daily Life</x:v>
      </x:c>
      <x:c r="D30" s="14" t="str">
        <x:v>Water</x:v>
      </x:c>
      <x:c r="E30" s="14" t="str">
        <x:v>饮水记录</x:v>
      </x:c>
      <x:c r="F30" s="14" t="str">
        <x:v>形成每日高频使用与纵向数据</x:v>
      </x:c>
      <x:c r="G30" s="14" t="str">
        <x:v>用户可完成“饮水记录”的完整主路径；关键操作生成 DrinkEvent；失败/无权限/重复提交有明确状态。</x:v>
      </x:c>
      <x:c r="H30" s="14" t="str">
        <x:v>DrinkEvent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14" t="n">
        <x:v>30</x:v>
      </x:c>
      <x:c r="B31" s="14" t="str">
        <x:v>PLI-028</x:v>
      </x:c>
      <x:c r="C31" s="14" t="str">
        <x:v>02 Today &amp; Daily Life</x:v>
      </x:c>
      <x:c r="D31" s="14" t="str">
        <x:v>Tasks</x:v>
      </x:c>
      <x:c r="E31" s="14" t="str">
        <x:v>重复执行冲突提醒</x:v>
      </x:c>
      <x:c r="F31" s="14" t="str">
        <x:v>形成每日高频使用与纵向数据</x:v>
      </x:c>
      <x:c r="G31" s="14" t="str">
        <x:v>用户可完成“重复执行冲突提醒”的完整主路径；关键操作生成 CareConflictDetected；失败/无权限/重复提交有明确状态。</x:v>
      </x:c>
      <x:c r="H31" s="14" t="str">
        <x:v>CareConflictDetected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14" t="n">
        <x:v>31</x:v>
      </x:c>
      <x:c r="B32" s="14" t="str">
        <x:v>PLI-023</x:v>
      </x:c>
      <x:c r="C32" s="14" t="str">
        <x:v>02 Today &amp; Daily Life</x:v>
      </x:c>
      <x:c r="D32" s="14" t="str">
        <x:v>Play</x:v>
      </x:c>
      <x:c r="E32" s="14" t="str">
        <x:v>玩耍与丰富化记录</x:v>
      </x:c>
      <x:c r="F32" s="14" t="str">
        <x:v>形成每日高频使用与纵向数据</x:v>
      </x:c>
      <x:c r="G32" s="14" t="str">
        <x:v>用户可完成“玩耍与丰富化记录”的完整主路径；关键操作生成 PlayEvent；失败/无权限/重复提交有明确状态。</x:v>
      </x:c>
      <x:c r="H32" s="14" t="str">
        <x:v>PlayEvent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14" t="n">
        <x:v>32</x:v>
      </x:c>
      <x:c r="B33" s="14" t="str">
        <x:v>PLI-032</x:v>
      </x:c>
      <x:c r="C33" s="14" t="str">
        <x:v>02 Today &amp; Daily Life</x:v>
      </x:c>
      <x:c r="D33" s="14" t="str">
        <x:v>Media</x:v>
      </x:c>
      <x:c r="E33" s="14" t="str">
        <x:v>照片/视频绑定事件</x:v>
      </x:c>
      <x:c r="F33" s="14" t="str">
        <x:v>形成每日高频使用与纵向数据</x:v>
      </x:c>
      <x:c r="G33" s="14" t="str">
        <x:v>用户可完成“照片/视频绑定事件”的完整主路径；关键操作生成 ArtifactLinked；失败/无权限/重复提交有明确状态。</x:v>
      </x:c>
      <x:c r="H33" s="14" t="str">
        <x:v>ArtifactLinked</x:v>
      </x:c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14" t="n">
        <x:v>33</x:v>
      </x:c>
      <x:c r="B34" s="14" t="str">
        <x:v>PLI-035</x:v>
      </x:c>
      <x:c r="C34" s="14" t="str">
        <x:v>03 Care Network</x:v>
      </x:c>
      <x:c r="D34" s="14" t="str">
        <x:v>Household</x:v>
      </x:c>
      <x:c r="E34" s="14" t="str">
        <x:v>邀请家庭成员</x:v>
      </x:c>
      <x:c r="F34" s="14" t="str">
        <x:v>形成家庭协作与责任闭环</x:v>
      </x:c>
      <x:c r="G34" s="14" t="str">
        <x:v>用户可完成“邀请家庭成员”的完整主路径；关键操作生成 CaregiverInvited；失败/无权限/重复提交有明确状态。</x:v>
      </x:c>
      <x:c r="H34" s="14" t="str">
        <x:v>CaregiverInvited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14" t="n">
        <x:v>34</x:v>
      </x:c>
      <x:c r="B35" s="14" t="str">
        <x:v>PLI-037</x:v>
      </x:c>
      <x:c r="C35" s="14" t="str">
        <x:v>03 Care Network</x:v>
      </x:c>
      <x:c r="D35" s="14" t="str">
        <x:v>Handoff</x:v>
      </x:c>
      <x:c r="E35" s="14" t="str">
        <x:v>照护交接模式</x:v>
      </x:c>
      <x:c r="F35" s="14" t="str">
        <x:v>形成家庭协作与责任闭环</x:v>
      </x:c>
      <x:c r="G35" s="14" t="str">
        <x:v>用户可完成“照护交接模式”的完整主路径；关键操作生成 CareHandoffStarted；失败/无权限/重复提交有明确状态。</x:v>
      </x:c>
      <x:c r="H35" s="14" t="str">
        <x:v>CareHandoffStarted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14" t="n">
        <x:v>35</x:v>
      </x:c>
      <x:c r="B36" s="14" t="str">
        <x:v>PLI-038</x:v>
      </x:c>
      <x:c r="C36" s="14" t="str">
        <x:v>03 Care Network</x:v>
      </x:c>
      <x:c r="D36" s="14" t="str">
        <x:v>Handoff</x:v>
      </x:c>
      <x:c r="E36" s="14" t="str">
        <x:v>自动生成Care Card</x:v>
      </x:c>
      <x:c r="F36" s="14" t="str">
        <x:v>形成家庭协作与责任闭环</x:v>
      </x:c>
      <x:c r="G36" s="14" t="str">
        <x:v>用户可完成“自动生成Care Card”的完整主路径；关键操作生成 CareCardGenerated；失败/无权限/重复提交有明确状态。</x:v>
      </x:c>
      <x:c r="H36" s="14" t="str">
        <x:v>CareCardGenerated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14" t="n">
        <x:v>36</x:v>
      </x:c>
      <x:c r="B37" s="14" t="str">
        <x:v>PLI-036</x:v>
      </x:c>
      <x:c r="C37" s="14" t="str">
        <x:v>03 Care Network</x:v>
      </x:c>
      <x:c r="D37" s="14" t="str">
        <x:v>Household</x:v>
      </x:c>
      <x:c r="E37" s="14" t="str">
        <x:v>家庭角色模板</x:v>
      </x:c>
      <x:c r="F37" s="14" t="str">
        <x:v>形成家庭协作与责任闭环</x:v>
      </x:c>
      <x:c r="G37" s="14" t="str">
        <x:v>用户可完成“家庭角色模板”的完整主路径；关键操作生成 GrantChanged；失败/无权限/重复提交有明确状态。</x:v>
      </x:c>
      <x:c r="H37" s="14" t="str">
        <x:v>GrantChanged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14" t="n">
        <x:v>37</x:v>
      </x:c>
      <x:c r="B38" s="14" t="str">
        <x:v>PLI-046</x:v>
      </x:c>
      <x:c r="C38" s="14" t="str">
        <x:v>03 Care Network</x:v>
      </x:c>
      <x:c r="D38" s="14" t="str">
        <x:v>Audit</x:v>
      </x:c>
      <x:c r="E38" s="14" t="str">
        <x:v>谁看过/改过什么</x:v>
      </x:c>
      <x:c r="F38" s="14" t="str">
        <x:v>形成家庭协作与责任闭环</x:v>
      </x:c>
      <x:c r="G38" s="14" t="str">
        <x:v>用户可完成“谁看过/改过什么”的完整主路径；关键操作生成 AuditEvent；失败/无权限/重复提交有明确状态。</x:v>
      </x:c>
      <x:c r="H38" s="14" t="str">
        <x:v>AuditEvent</x:v>
      </x:c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14" t="n">
        <x:v>38</x:v>
      </x:c>
      <x:c r="B39" s="14" t="str">
        <x:v>PLI-069</x:v>
      </x:c>
      <x:c r="C39" s="14" t="str">
        <x:v>05 Behavior</x:v>
      </x:c>
      <x:c r="D39" s="14" t="str">
        <x:v>Behavior Event</x:v>
      </x:c>
      <x:c r="E39" s="14" t="str">
        <x:v>行为事件快速记录</x:v>
      </x:c>
      <x:c r="F39" s="14" t="str">
        <x:v>验证行为记录作为第二高频入口</x:v>
      </x:c>
      <x:c r="G39" s="14" t="str">
        <x:v>用户可完成“行为事件快速记录”的完整主路径；关键操作生成 BehaviorEvent；失败/无权限/重复提交有明确状态。</x:v>
      </x:c>
      <x:c r="H39" s="14" t="str">
        <x:v>BehaviorEvent</x:v>
      </x:c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14" t="n">
        <x:v>39</x:v>
      </x:c>
      <x:c r="B40" s="14" t="str">
        <x:v>PLI-060</x:v>
      </x:c>
      <x:c r="C40" s="14" t="str">
        <x:v>04 Health</x:v>
      </x:c>
      <x:c r="D40" s="14" t="str">
        <x:v>Medication</x:v>
      </x:c>
      <x:c r="E40" s="14" t="str">
        <x:v>给药记录与遗漏提醒</x:v>
      </x:c>
      <x:c r="F40" s="14" t="str">
        <x:v>验证异常事件与兽医前后闭环</x:v>
      </x:c>
      <x:c r="G40" s="14" t="str">
        <x:v>用户可完成“给药记录与遗漏提醒”的完整主路径；关键操作生成 MedicationAdministered；失败/无权限/重复提交有明确状态。</x:v>
      </x:c>
      <x:c r="H40" s="14" t="str">
        <x:v>MedicationAdministered</x:v>
      </x:c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14" t="n">
        <x:v>40</x:v>
      </x:c>
      <x:c r="B41" s="14" t="str">
        <x:v>PLI-063</x:v>
      </x:c>
      <x:c r="C41" s="14" t="str">
        <x:v>04 Health</x:v>
      </x:c>
      <x:c r="D41" s="14" t="str">
        <x:v>Outcome</x:v>
      </x:c>
      <x:c r="E41" s="14" t="str">
        <x:v>结局采集</x:v>
      </x:c>
      <x:c r="F41" s="14" t="str">
        <x:v>验证异常事件与兽医前后闭环</x:v>
      </x:c>
      <x:c r="G41" s="14" t="str">
        <x:v>用户可完成“结局采集”的完整主路径；关键操作生成 HealthOutcome；失败/无权限/重复提交有明确状态。</x:v>
      </x:c>
      <x:c r="H41" s="14" t="str">
        <x:v>HealthOutcome</x:v>
      </x:c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14" t="n">
        <x:v>41</x:v>
      </x:c>
      <x:c r="B42" s="14" t="str">
        <x:v>PLI-055</x:v>
      </x:c>
      <x:c r="C42" s="14" t="str">
        <x:v>04 Health</x:v>
      </x:c>
      <x:c r="D42" s="14" t="str">
        <x:v>Vet Brief</x:v>
      </x:c>
      <x:c r="E42" s="14" t="str">
        <x:v>就诊前摘要</x:v>
      </x:c>
      <x:c r="F42" s="14" t="str">
        <x:v>验证异常事件与兽医前后闭环</x:v>
      </x:c>
      <x:c r="G42" s="14" t="str">
        <x:v>用户可完成“就诊前摘要”的完整主路径；关键操作生成 VetBriefGenerated；失败/无权限/重复提交有明确状态。</x:v>
      </x:c>
      <x:c r="H42" s="14" t="str">
        <x:v>VetBriefGenerated</x:v>
      </x:c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14" t="n">
        <x:v>42</x:v>
      </x:c>
      <x:c r="B43" s="14" t="str">
        <x:v>PLI-049</x:v>
      </x:c>
      <x:c r="C43" s="14" t="str">
        <x:v>04 Health</x:v>
      </x:c>
      <x:c r="D43" s="14" t="str">
        <x:v>Health Event</x:v>
      </x:c>
      <x:c r="E43" s="14" t="str">
        <x:v>发现异常入口</x:v>
      </x:c>
      <x:c r="F43" s="14" t="str">
        <x:v>验证异常事件与兽医前后闭环</x:v>
      </x:c>
      <x:c r="G43" s="14" t="str">
        <x:v>用户可完成“发现异常入口”的完整主路径；关键操作生成 HealthEventOpened；失败/无权限/重复提交有明确状态。</x:v>
      </x:c>
      <x:c r="H43" s="14" t="str">
        <x:v>HealthEventOpened</x:v>
      </x:c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14" t="n">
        <x:v>43</x:v>
      </x:c>
      <x:c r="B44" s="14" t="str">
        <x:v>PLI-059</x:v>
      </x:c>
      <x:c r="C44" s="14" t="str">
        <x:v>04 Health</x:v>
      </x:c>
      <x:c r="D44" s="14" t="str">
        <x:v>Medication</x:v>
      </x:c>
      <x:c r="E44" s="14" t="str">
        <x:v>用药计划</x:v>
      </x:c>
      <x:c r="F44" s="14" t="str">
        <x:v>验证异常事件与兽医前后闭环</x:v>
      </x:c>
      <x:c r="G44" s="14" t="str">
        <x:v>用户可完成“用药计划”的完整主路径；关键操作生成 MedicationPlanCreated；失败/无权限/重复提交有明确状态。</x:v>
      </x:c>
      <x:c r="H44" s="14" t="str">
        <x:v>MedicationPlanCreated</x:v>
      </x:c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14" t="n">
        <x:v>44</x:v>
      </x:c>
      <x:c r="B45" s="14" t="str">
        <x:v>PLI-051</x:v>
      </x:c>
      <x:c r="C45" s="14" t="str">
        <x:v>04 Health</x:v>
      </x:c>
      <x:c r="D45" s="14" t="str">
        <x:v>Evidence</x:v>
      </x:c>
      <x:c r="E45" s="14" t="str">
        <x:v>图片/视频/音频证据</x:v>
      </x:c>
      <x:c r="F45" s="14" t="str">
        <x:v>验证异常事件与兽医前后闭环</x:v>
      </x:c>
      <x:c r="G45" s="14" t="str">
        <x:v>用户可完成“图片/视频/音频证据”的完整主路径；关键操作生成 ClinicalArtifactAdded；失败/无权限/重复提交有明确状态。</x:v>
      </x:c>
      <x:c r="H45" s="14" t="str">
        <x:v>ClinicalArtifactAdded</x:v>
      </x:c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14" t="n">
        <x:v>45</x:v>
      </x:c>
      <x:c r="B46" s="14" t="str">
        <x:v>PLI-050</x:v>
      </x:c>
      <x:c r="C46" s="14" t="str">
        <x:v>04 Health</x:v>
      </x:c>
      <x:c r="D46" s="14" t="str">
        <x:v>Health Event</x:v>
      </x:c>
      <x:c r="E46" s="14" t="str">
        <x:v>动态追问</x:v>
      </x:c>
      <x:c r="F46" s="14" t="str">
        <x:v>验证异常事件与兽医前后闭环</x:v>
      </x:c>
      <x:c r="G46" s="14" t="str">
        <x:v>用户可完成“动态追问”的完整主路径；关键操作生成 ClinicalIntakeStep；失败/无权限/重复提交有明确状态。</x:v>
      </x:c>
      <x:c r="H46" s="14" t="str">
        <x:v>ClinicalIntakeStep</x:v>
      </x:c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14" t="n">
        <x:v>46</x:v>
      </x:c>
      <x:c r="B47" s="14" t="str">
        <x:v>PLI-052</x:v>
      </x:c>
      <x:c r="C47" s="14" t="str">
        <x:v>04 Health</x:v>
      </x:c>
      <x:c r="D47" s="14" t="str">
        <x:v>Evidence</x:v>
      </x:c>
      <x:c r="E47" s="14" t="str">
        <x:v>可观察事实提取</x:v>
      </x:c>
      <x:c r="F47" s="14" t="str">
        <x:v>验证异常事件与兽医前后闭环</x:v>
      </x:c>
      <x:c r="G47" s="14" t="str">
        <x:v>用户可完成“可观察事实提取”的完整主路径；关键操作生成 AIObservation；失败/无权限/重复提交有明确状态。</x:v>
      </x:c>
      <x:c r="H47" s="14" t="str">
        <x:v>AIObservation</x:v>
      </x:c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14" t="n">
        <x:v>47</x:v>
      </x:c>
      <x:c r="B48" s="14" t="str">
        <x:v>PLI-054</x:v>
      </x:c>
      <x:c r="C48" s="14" t="str">
        <x:v>04 Health</x:v>
      </x:c>
      <x:c r="D48" s="14" t="str">
        <x:v>Triage</x:v>
      </x:c>
      <x:c r="E48" s="14" t="str">
        <x:v>风险分级</x:v>
      </x:c>
      <x:c r="F48" s="14" t="str">
        <x:v>验证异常事件与兽医前后闭环</x:v>
      </x:c>
      <x:c r="G48" s="14" t="str">
        <x:v>用户可完成“风险分级”的完整主路径；关键操作生成 TriageAssigned；失败/无权限/重复提交有明确状态。</x:v>
      </x:c>
      <x:c r="H48" s="14" t="str">
        <x:v>TriageAssigned</x:v>
      </x:c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14" t="n">
        <x:v>48</x:v>
      </x:c>
      <x:c r="B49" s="14" t="str">
        <x:v>PLI-056</x:v>
      </x:c>
      <x:c r="C49" s="14" t="str">
        <x:v>04 Health</x:v>
      </x:c>
      <x:c r="D49" s="14" t="str">
        <x:v>Vet Brief</x:v>
      </x:c>
      <x:c r="E49" s="14" t="str">
        <x:v>分享链接/PDF</x:v>
      </x:c>
      <x:c r="F49" s="14" t="str">
        <x:v>验证异常事件与兽医前后闭环</x:v>
      </x:c>
      <x:c r="G49" s="14" t="str">
        <x:v>用户可完成“分享链接/PDF”的完整主路径；关键操作生成 VetBriefShared；失败/无权限/重复提交有明确状态。</x:v>
      </x:c>
      <x:c r="H49" s="14" t="str">
        <x:v>VetBriefShared</x:v>
      </x:c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14" t="n">
        <x:v>49</x:v>
      </x:c>
      <x:c r="B50" s="14" t="str">
        <x:v>PLI-053</x:v>
      </x:c>
      <x:c r="C50" s="14" t="str">
        <x:v>04 Health</x:v>
      </x:c>
      <x:c r="D50" s="14" t="str">
        <x:v>Safety</x:v>
      </x:c>
      <x:c r="E50" s="14" t="str">
        <x:v>红旗安全引擎</x:v>
      </x:c>
      <x:c r="F50" s="14" t="str">
        <x:v>验证异常事件与兽医前后闭环</x:v>
      </x:c>
      <x:c r="G50" s="14" t="str">
        <x:v>用户可完成“红旗安全引擎”的完整主路径；关键操作生成 RedFlagTriggered；失败/无权限/重复提交有明确状态。</x:v>
      </x:c>
      <x:c r="H50" s="14" t="str">
        <x:v>RedFlagTriggered</x:v>
      </x:c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14" t="n">
        <x:v>50</x:v>
      </x:c>
      <x:c r="B51" s="14" t="str">
        <x:v>PLI-204</x:v>
      </x:c>
      <x:c r="C51" s="14" t="str">
        <x:v>15 Pet Agent &amp; Search</x:v>
      </x:c>
      <x:c r="D51" s="14" t="str">
        <x:v>Actions</x:v>
      </x:c>
      <x:c r="E51" s="14" t="str">
        <x:v>医疗动作硬边界</x:v>
      </x:c>
      <x:c r="F51" s="14" t="str">
        <x:v>守住Agent医疗边界</x:v>
      </x:c>
      <x:c r="G51" s="14" t="str">
        <x:v>用户可完成“医疗动作硬边界”的完整主路径；关键操作生成 SafetyPolicyApplied；失败/无权限/重复提交有明确状态。</x:v>
      </x:c>
      <x:c r="H51" s="14" t="str">
        <x:v>SafetyPolicyApplied</x:v>
      </x:c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25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25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25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25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25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25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25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25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25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25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25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25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25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25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25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25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25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25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25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25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25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25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25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25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25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25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25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25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25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25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25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25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25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25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25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25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25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25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25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25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25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25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25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25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25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25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25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25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25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25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25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25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25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25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25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25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25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25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25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25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25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25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25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25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25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25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25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25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25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25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25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25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25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25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25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25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25"/>
      <x:c r="B201" s="25"/>
      <x:c r="C201" s="25"/>
      <x:c r="D201" s="25"/>
      <x:c r="E201" s="25"/>
      <x:c r="F201" s="25"/>
      <x:c r="G201" s="25"/>
      <x:c r="H201" s="25"/>
      <x:c r="I201" s="25"/>
      <x:c r="J201" s="25"/>
      <x:c r="K201" s="25"/>
      <x:c r="L201" s="25"/>
      <x:c r="M201" s="25"/>
      <x:c r="N201" s="25"/>
      <x:c r="O201" s="25"/>
      <x:c r="P201" s="25"/>
      <x:c r="Q201" s="25"/>
      <x:c r="R201" s="25"/>
      <x:c r="S201" s="25"/>
      <x:c r="T201" s="25"/>
      <x:c r="U201" s="25"/>
      <x:c r="V201" s="25"/>
      <x:c r="W201" s="25"/>
      <x:c r="X201" s="25"/>
      <x:c r="Y201" s="25"/>
      <x:c r="Z201" s="25"/>
    </x:row>
    <x:row r="202">
      <x:c r="A202" s="25"/>
      <x:c r="B202" s="25"/>
      <x:c r="C202" s="25"/>
      <x:c r="D202" s="25"/>
      <x:c r="E202" s="25"/>
      <x:c r="F202" s="25"/>
      <x:c r="G202" s="25"/>
      <x:c r="H202" s="25"/>
      <x:c r="I202" s="25"/>
      <x:c r="J202" s="25"/>
      <x:c r="K202" s="25"/>
      <x:c r="L202" s="25"/>
      <x:c r="M202" s="25"/>
      <x:c r="N202" s="25"/>
      <x:c r="O202" s="25"/>
      <x:c r="P202" s="25"/>
      <x:c r="Q202" s="25"/>
      <x:c r="R202" s="25"/>
      <x:c r="S202" s="25"/>
      <x:c r="T202" s="25"/>
      <x:c r="U202" s="25"/>
      <x:c r="V202" s="25"/>
      <x:c r="W202" s="25"/>
      <x:c r="X202" s="25"/>
      <x:c r="Y202" s="25"/>
      <x:c r="Z202" s="25"/>
    </x:row>
    <x:row r="203">
      <x:c r="A203" s="25"/>
      <x:c r="B203" s="25"/>
      <x:c r="C203" s="25"/>
      <x:c r="D203" s="25"/>
      <x:c r="E203" s="25"/>
      <x:c r="F203" s="25"/>
      <x:c r="G203" s="25"/>
      <x:c r="H203" s="25"/>
      <x:c r="I203" s="25"/>
      <x:c r="J203" s="25"/>
      <x:c r="K203" s="25"/>
      <x:c r="L203" s="25"/>
      <x:c r="M203" s="25"/>
      <x:c r="N203" s="25"/>
      <x:c r="O203" s="25"/>
      <x:c r="P203" s="25"/>
      <x:c r="Q203" s="25"/>
      <x:c r="R203" s="25"/>
      <x:c r="S203" s="25"/>
      <x:c r="T203" s="25"/>
      <x:c r="U203" s="25"/>
      <x:c r="V203" s="25"/>
      <x:c r="W203" s="25"/>
      <x:c r="X203" s="25"/>
      <x:c r="Y203" s="25"/>
      <x:c r="Z203" s="25"/>
    </x:row>
    <x:row r="204">
      <x:c r="A204" s="25"/>
      <x:c r="B204" s="25"/>
      <x:c r="C204" s="25"/>
      <x:c r="D204" s="25"/>
      <x:c r="E204" s="25"/>
      <x:c r="F204" s="25"/>
      <x:c r="G204" s="25"/>
      <x:c r="H204" s="25"/>
      <x:c r="I204" s="25"/>
      <x:c r="J204" s="25"/>
      <x:c r="K204" s="25"/>
      <x:c r="L204" s="25"/>
      <x:c r="M204" s="25"/>
      <x:c r="N204" s="25"/>
      <x:c r="O204" s="25"/>
      <x:c r="P204" s="25"/>
      <x:c r="Q204" s="25"/>
      <x:c r="R204" s="25"/>
      <x:c r="S204" s="25"/>
      <x:c r="T204" s="25"/>
      <x:c r="U204" s="25"/>
      <x:c r="V204" s="25"/>
      <x:c r="W204" s="25"/>
      <x:c r="X204" s="25"/>
      <x:c r="Y204" s="25"/>
      <x:c r="Z204" s="25"/>
    </x:row>
    <x:row r="205">
      <x:c r="A205" s="25"/>
      <x:c r="B205" s="25"/>
      <x:c r="C205" s="25"/>
      <x:c r="D205" s="25"/>
      <x:c r="E205" s="25"/>
      <x:c r="F205" s="25"/>
      <x:c r="G205" s="25"/>
      <x:c r="H205" s="25"/>
      <x:c r="I205" s="25"/>
      <x:c r="J205" s="25"/>
      <x:c r="K205" s="25"/>
      <x:c r="L205" s="25"/>
      <x:c r="M205" s="25"/>
      <x:c r="N205" s="25"/>
      <x:c r="O205" s="25"/>
      <x:c r="P205" s="25"/>
      <x:c r="Q205" s="25"/>
      <x:c r="R205" s="25"/>
      <x:c r="S205" s="25"/>
      <x:c r="T205" s="25"/>
      <x:c r="U205" s="25"/>
      <x:c r="V205" s="25"/>
      <x:c r="W205" s="25"/>
      <x:c r="X205" s="25"/>
      <x:c r="Y205" s="25"/>
      <x:c r="Z205" s="25"/>
    </x:row>
    <x:row r="206">
      <x:c r="A206" s="25"/>
      <x:c r="B206" s="25"/>
      <x:c r="C206" s="25"/>
      <x:c r="D206" s="25"/>
      <x:c r="E206" s="25"/>
      <x:c r="F206" s="25"/>
      <x:c r="G206" s="25"/>
      <x:c r="H206" s="25"/>
      <x:c r="I206" s="25"/>
      <x:c r="J206" s="25"/>
      <x:c r="K206" s="25"/>
      <x:c r="L206" s="25"/>
      <x:c r="M206" s="25"/>
      <x:c r="N206" s="25"/>
      <x:c r="O206" s="25"/>
      <x:c r="P206" s="25"/>
      <x:c r="Q206" s="25"/>
      <x:c r="R206" s="25"/>
      <x:c r="S206" s="25"/>
      <x:c r="T206" s="25"/>
      <x:c r="U206" s="25"/>
      <x:c r="V206" s="25"/>
      <x:c r="W206" s="25"/>
      <x:c r="X206" s="25"/>
      <x:c r="Y206" s="25"/>
      <x:c r="Z206" s="25"/>
    </x:row>
    <x:row r="207">
      <x:c r="A207" s="25"/>
      <x:c r="B207" s="25"/>
      <x:c r="C207" s="25"/>
      <x:c r="D207" s="25"/>
      <x:c r="E207" s="25"/>
      <x:c r="F207" s="25"/>
      <x:c r="G207" s="25"/>
      <x:c r="H207" s="25"/>
      <x:c r="I207" s="25"/>
      <x:c r="J207" s="25"/>
      <x:c r="K207" s="25"/>
      <x:c r="L207" s="25"/>
      <x:c r="M207" s="25"/>
      <x:c r="N207" s="25"/>
      <x:c r="O207" s="25"/>
      <x:c r="P207" s="25"/>
      <x:c r="Q207" s="25"/>
      <x:c r="R207" s="25"/>
      <x:c r="S207" s="25"/>
      <x:c r="T207" s="25"/>
      <x:c r="U207" s="25"/>
      <x:c r="V207" s="25"/>
      <x:c r="W207" s="25"/>
      <x:c r="X207" s="25"/>
      <x:c r="Y207" s="25"/>
      <x:c r="Z207" s="25"/>
    </x:row>
    <x:row r="208">
      <x:c r="A208" s="25"/>
      <x:c r="B208" s="25"/>
      <x:c r="C208" s="25"/>
      <x:c r="D208" s="25"/>
      <x:c r="E208" s="25"/>
      <x:c r="F208" s="25"/>
      <x:c r="G208" s="25"/>
      <x:c r="H208" s="25"/>
      <x:c r="I208" s="25"/>
      <x:c r="J208" s="25"/>
      <x:c r="K208" s="25"/>
      <x:c r="L208" s="25"/>
      <x:c r="M208" s="25"/>
      <x:c r="N208" s="25"/>
      <x:c r="O208" s="25"/>
      <x:c r="P208" s="25"/>
      <x:c r="Q208" s="25"/>
      <x:c r="R208" s="25"/>
      <x:c r="S208" s="25"/>
      <x:c r="T208" s="25"/>
      <x:c r="U208" s="25"/>
      <x:c r="V208" s="25"/>
      <x:c r="W208" s="25"/>
      <x:c r="X208" s="25"/>
      <x:c r="Y208" s="25"/>
      <x:c r="Z208" s="25"/>
    </x:row>
    <x:row r="209">
      <x:c r="A209" s="25"/>
      <x:c r="B209" s="25"/>
      <x:c r="C209" s="25"/>
      <x:c r="D209" s="25"/>
      <x:c r="E209" s="25"/>
      <x:c r="F209" s="25"/>
      <x:c r="G209" s="25"/>
      <x:c r="H209" s="25"/>
      <x:c r="I209" s="25"/>
      <x:c r="J209" s="25"/>
      <x:c r="K209" s="25"/>
      <x:c r="L209" s="25"/>
      <x:c r="M209" s="25"/>
      <x:c r="N209" s="25"/>
      <x:c r="O209" s="25"/>
      <x:c r="P209" s="25"/>
      <x:c r="Q209" s="25"/>
      <x:c r="R209" s="25"/>
      <x:c r="S209" s="25"/>
      <x:c r="T209" s="25"/>
      <x:c r="U209" s="25"/>
      <x:c r="V209" s="25"/>
      <x:c r="W209" s="25"/>
      <x:c r="X209" s="25"/>
      <x:c r="Y209" s="25"/>
      <x:c r="Z209" s="25"/>
    </x:row>
    <x:row r="210">
      <x:c r="A210" s="25"/>
      <x:c r="B210" s="25"/>
      <x:c r="C210" s="25"/>
      <x:c r="D210" s="25"/>
      <x:c r="E210" s="25"/>
      <x:c r="F210" s="25"/>
      <x:c r="G210" s="25"/>
      <x:c r="H210" s="25"/>
      <x:c r="I210" s="25"/>
      <x:c r="J210" s="25"/>
      <x:c r="K210" s="25"/>
      <x:c r="L210" s="25"/>
      <x:c r="M210" s="25"/>
      <x:c r="N210" s="25"/>
      <x:c r="O210" s="25"/>
      <x:c r="P210" s="25"/>
      <x:c r="Q210" s="25"/>
      <x:c r="R210" s="25"/>
      <x:c r="S210" s="25"/>
      <x:c r="T210" s="25"/>
      <x:c r="U210" s="25"/>
      <x:c r="V210" s="25"/>
      <x:c r="W210" s="25"/>
      <x:c r="X210" s="25"/>
      <x:c r="Y210" s="25"/>
      <x:c r="Z210" s="25"/>
    </x:row>
    <x:row r="211">
      <x:c r="A211" s="25"/>
      <x:c r="B211" s="25"/>
      <x:c r="C211" s="25"/>
      <x:c r="D211" s="25"/>
      <x:c r="E211" s="25"/>
      <x:c r="F211" s="25"/>
      <x:c r="G211" s="25"/>
      <x:c r="H211" s="25"/>
      <x:c r="I211" s="25"/>
      <x:c r="J211" s="25"/>
      <x:c r="K211" s="25"/>
      <x:c r="L211" s="25"/>
      <x:c r="M211" s="25"/>
      <x:c r="N211" s="25"/>
      <x:c r="O211" s="25"/>
      <x:c r="P211" s="25"/>
      <x:c r="Q211" s="25"/>
      <x:c r="R211" s="25"/>
      <x:c r="S211" s="25"/>
      <x:c r="T211" s="25"/>
      <x:c r="U211" s="25"/>
      <x:c r="V211" s="25"/>
      <x:c r="W211" s="25"/>
      <x:c r="X211" s="25"/>
      <x:c r="Y211" s="25"/>
      <x:c r="Z211" s="25"/>
    </x:row>
    <x:row r="212">
      <x:c r="A212" s="25"/>
      <x:c r="B212" s="25"/>
      <x:c r="C212" s="25"/>
      <x:c r="D212" s="25"/>
      <x:c r="E212" s="25"/>
      <x:c r="F212" s="25"/>
      <x:c r="G212" s="25"/>
      <x:c r="H212" s="25"/>
      <x:c r="I212" s="25"/>
      <x:c r="J212" s="25"/>
      <x:c r="K212" s="25"/>
      <x:c r="L212" s="25"/>
      <x:c r="M212" s="25"/>
      <x:c r="N212" s="25"/>
      <x:c r="O212" s="25"/>
      <x:c r="P212" s="25"/>
      <x:c r="Q212" s="25"/>
      <x:c r="R212" s="25"/>
      <x:c r="S212" s="25"/>
      <x:c r="T212" s="25"/>
      <x:c r="U212" s="25"/>
      <x:c r="V212" s="25"/>
      <x:c r="W212" s="25"/>
      <x:c r="X212" s="25"/>
      <x:c r="Y212" s="25"/>
      <x:c r="Z212" s="25"/>
    </x:row>
    <x:row r="213">
      <x:c r="A213" s="25"/>
      <x:c r="B213" s="25"/>
      <x:c r="C213" s="25"/>
      <x:c r="D213" s="25"/>
      <x:c r="E213" s="25"/>
      <x:c r="F213" s="25"/>
      <x:c r="G213" s="25"/>
      <x:c r="H213" s="25"/>
      <x:c r="I213" s="25"/>
      <x:c r="J213" s="25"/>
      <x:c r="K213" s="25"/>
      <x:c r="L213" s="25"/>
      <x:c r="M213" s="25"/>
      <x:c r="N213" s="25"/>
      <x:c r="O213" s="25"/>
      <x:c r="P213" s="25"/>
      <x:c r="Q213" s="25"/>
      <x:c r="R213" s="25"/>
      <x:c r="S213" s="25"/>
      <x:c r="T213" s="25"/>
      <x:c r="U213" s="25"/>
      <x:c r="V213" s="25"/>
      <x:c r="W213" s="25"/>
      <x:c r="X213" s="25"/>
      <x:c r="Y213" s="25"/>
      <x:c r="Z213" s="25"/>
    </x:row>
    <x:row r="214">
      <x:c r="A214" s="25"/>
      <x:c r="B214" s="25"/>
      <x:c r="C214" s="25"/>
      <x:c r="D214" s="25"/>
      <x:c r="E214" s="25"/>
      <x:c r="F214" s="25"/>
      <x:c r="G214" s="25"/>
      <x:c r="H214" s="25"/>
      <x:c r="I214" s="25"/>
      <x:c r="J214" s="25"/>
      <x:c r="K214" s="25"/>
      <x:c r="L214" s="25"/>
      <x:c r="M214" s="25"/>
      <x:c r="N214" s="25"/>
      <x:c r="O214" s="25"/>
      <x:c r="P214" s="25"/>
      <x:c r="Q214" s="25"/>
      <x:c r="R214" s="25"/>
      <x:c r="S214" s="25"/>
      <x:c r="T214" s="25"/>
      <x:c r="U214" s="25"/>
      <x:c r="V214" s="25"/>
      <x:c r="W214" s="25"/>
      <x:c r="X214" s="25"/>
      <x:c r="Y214" s="25"/>
      <x:c r="Z214" s="25"/>
    </x:row>
    <x:row r="215">
      <x:c r="A215" s="25"/>
      <x:c r="B215" s="25"/>
      <x:c r="C215" s="25"/>
      <x:c r="D215" s="25"/>
      <x:c r="E215" s="25"/>
      <x:c r="F215" s="25"/>
      <x:c r="G215" s="25"/>
      <x:c r="H215" s="25"/>
      <x:c r="I215" s="25"/>
      <x:c r="J215" s="25"/>
      <x:c r="K215" s="25"/>
      <x:c r="L215" s="25"/>
      <x:c r="M215" s="25"/>
      <x:c r="N215" s="25"/>
      <x:c r="O215" s="25"/>
      <x:c r="P215" s="25"/>
      <x:c r="Q215" s="25"/>
      <x:c r="R215" s="25"/>
      <x:c r="S215" s="25"/>
      <x:c r="T215" s="25"/>
      <x:c r="U215" s="25"/>
      <x:c r="V215" s="25"/>
      <x:c r="W215" s="25"/>
      <x:c r="X215" s="25"/>
      <x:c r="Y215" s="25"/>
      <x:c r="Z215" s="25"/>
    </x:row>
    <x:row r="216">
      <x:c r="A216" s="25"/>
      <x:c r="B216" s="25"/>
      <x:c r="C216" s="25"/>
      <x:c r="D216" s="25"/>
      <x:c r="E216" s="25"/>
      <x:c r="F216" s="25"/>
      <x:c r="G216" s="25"/>
      <x:c r="H216" s="25"/>
      <x:c r="I216" s="25"/>
      <x:c r="J216" s="25"/>
      <x:c r="K216" s="25"/>
      <x:c r="L216" s="25"/>
      <x:c r="M216" s="25"/>
      <x:c r="N216" s="25"/>
      <x:c r="O216" s="25"/>
      <x:c r="P216" s="25"/>
      <x:c r="Q216" s="25"/>
      <x:c r="R216" s="25"/>
      <x:c r="S216" s="25"/>
      <x:c r="T216" s="25"/>
      <x:c r="U216" s="25"/>
      <x:c r="V216" s="25"/>
      <x:c r="W216" s="25"/>
      <x:c r="X216" s="25"/>
      <x:c r="Y216" s="25"/>
      <x:c r="Z216" s="25"/>
    </x:row>
    <x:row r="217">
      <x:c r="A217" s="25"/>
      <x:c r="B217" s="25"/>
      <x:c r="C217" s="25"/>
      <x:c r="D217" s="25"/>
      <x:c r="E217" s="25"/>
      <x:c r="F217" s="25"/>
      <x:c r="G217" s="25"/>
      <x:c r="H217" s="25"/>
      <x:c r="I217" s="25"/>
      <x:c r="J217" s="25"/>
      <x:c r="K217" s="25"/>
      <x:c r="L217" s="25"/>
      <x:c r="M217" s="25"/>
      <x:c r="N217" s="25"/>
      <x:c r="O217" s="25"/>
      <x:c r="P217" s="25"/>
      <x:c r="Q217" s="25"/>
      <x:c r="R217" s="25"/>
      <x:c r="S217" s="25"/>
      <x:c r="T217" s="25"/>
      <x:c r="U217" s="25"/>
      <x:c r="V217" s="25"/>
      <x:c r="W217" s="25"/>
      <x:c r="X217" s="25"/>
      <x:c r="Y217" s="25"/>
      <x:c r="Z217" s="25"/>
    </x:row>
    <x:row r="218">
      <x:c r="A218" s="25"/>
      <x:c r="B218" s="25"/>
      <x:c r="C218" s="25"/>
      <x:c r="D218" s="25"/>
      <x:c r="E218" s="25"/>
      <x:c r="F218" s="25"/>
      <x:c r="G218" s="25"/>
      <x:c r="H218" s="25"/>
      <x:c r="I218" s="25"/>
      <x:c r="J218" s="25"/>
      <x:c r="K218" s="25"/>
      <x:c r="L218" s="25"/>
      <x:c r="M218" s="25"/>
      <x:c r="N218" s="25"/>
      <x:c r="O218" s="25"/>
      <x:c r="P218" s="25"/>
      <x:c r="Q218" s="25"/>
      <x:c r="R218" s="25"/>
      <x:c r="S218" s="25"/>
      <x:c r="T218" s="25"/>
      <x:c r="U218" s="25"/>
      <x:c r="V218" s="25"/>
      <x:c r="W218" s="25"/>
      <x:c r="X218" s="25"/>
      <x:c r="Y218" s="25"/>
      <x:c r="Z218" s="25"/>
    </x:row>
    <x:row r="219">
      <x:c r="A219" s="25"/>
      <x:c r="B219" s="25"/>
      <x:c r="C219" s="25"/>
      <x:c r="D219" s="25"/>
      <x:c r="E219" s="25"/>
      <x:c r="F219" s="25"/>
      <x:c r="G219" s="25"/>
      <x:c r="H219" s="25"/>
      <x:c r="I219" s="25"/>
      <x:c r="J219" s="25"/>
      <x:c r="K219" s="25"/>
      <x:c r="L219" s="25"/>
      <x:c r="M219" s="25"/>
      <x:c r="N219" s="25"/>
      <x:c r="O219" s="25"/>
      <x:c r="P219" s="25"/>
      <x:c r="Q219" s="25"/>
      <x:c r="R219" s="25"/>
      <x:c r="S219" s="25"/>
      <x:c r="T219" s="25"/>
      <x:c r="U219" s="25"/>
      <x:c r="V219" s="25"/>
      <x:c r="W219" s="25"/>
      <x:c r="X219" s="25"/>
      <x:c r="Y219" s="25"/>
      <x:c r="Z219" s="25"/>
    </x:row>
    <x:row r="220">
      <x:c r="A220" s="25"/>
      <x:c r="B220" s="25"/>
      <x:c r="C220" s="25"/>
      <x:c r="D220" s="25"/>
      <x:c r="E220" s="25"/>
      <x:c r="F220" s="25"/>
      <x:c r="G220" s="25"/>
      <x:c r="H220" s="25"/>
      <x:c r="I220" s="25"/>
      <x:c r="J220" s="25"/>
      <x:c r="K220" s="25"/>
      <x:c r="L220" s="25"/>
      <x:c r="M220" s="25"/>
      <x:c r="N220" s="25"/>
      <x:c r="O220" s="25"/>
      <x:c r="P220" s="25"/>
      <x:c r="Q220" s="25"/>
      <x:c r="R220" s="25"/>
      <x:c r="S220" s="25"/>
      <x:c r="T220" s="25"/>
      <x:c r="U220" s="25"/>
      <x:c r="V220" s="25"/>
      <x:c r="W220" s="25"/>
      <x:c r="X220" s="25"/>
      <x:c r="Y220" s="25"/>
      <x:c r="Z220" s="25"/>
    </x:row>
    <x:row r="221">
      <x:c r="A221" s="25"/>
      <x:c r="B221" s="25"/>
      <x:c r="C221" s="25"/>
      <x:c r="D221" s="25"/>
      <x:c r="E221" s="25"/>
      <x:c r="F221" s="25"/>
      <x:c r="G221" s="25"/>
      <x:c r="H221" s="25"/>
      <x:c r="I221" s="25"/>
      <x:c r="J221" s="25"/>
      <x:c r="K221" s="25"/>
      <x:c r="L221" s="25"/>
      <x:c r="M221" s="25"/>
      <x:c r="N221" s="25"/>
      <x:c r="O221" s="25"/>
      <x:c r="P221" s="25"/>
      <x:c r="Q221" s="25"/>
      <x:c r="R221" s="25"/>
      <x:c r="S221" s="25"/>
      <x:c r="T221" s="25"/>
      <x:c r="U221" s="25"/>
      <x:c r="V221" s="25"/>
      <x:c r="W221" s="25"/>
      <x:c r="X221" s="25"/>
      <x:c r="Y221" s="25"/>
      <x:c r="Z221" s="25"/>
    </x:row>
    <x:row r="222">
      <x:c r="A222" s="25"/>
      <x:c r="B222" s="25"/>
      <x:c r="C222" s="25"/>
      <x:c r="D222" s="25"/>
      <x:c r="E222" s="25"/>
      <x:c r="F222" s="25"/>
      <x:c r="G222" s="25"/>
      <x:c r="H222" s="25"/>
      <x:c r="I222" s="25"/>
      <x:c r="J222" s="25"/>
      <x:c r="K222" s="25"/>
      <x:c r="L222" s="25"/>
      <x:c r="M222" s="25"/>
      <x:c r="N222" s="25"/>
      <x:c r="O222" s="25"/>
      <x:c r="P222" s="25"/>
      <x:c r="Q222" s="25"/>
      <x:c r="R222" s="25"/>
      <x:c r="S222" s="25"/>
      <x:c r="T222" s="25"/>
      <x:c r="U222" s="25"/>
      <x:c r="V222" s="25"/>
      <x:c r="W222" s="25"/>
      <x:c r="X222" s="25"/>
      <x:c r="Y222" s="25"/>
      <x:c r="Z222" s="25"/>
    </x:row>
    <x:row r="223">
      <x:c r="A223" s="25"/>
      <x:c r="B223" s="25"/>
      <x:c r="C223" s="25"/>
      <x:c r="D223" s="25"/>
      <x:c r="E223" s="25"/>
      <x:c r="F223" s="25"/>
      <x:c r="G223" s="25"/>
      <x:c r="H223" s="25"/>
      <x:c r="I223" s="25"/>
      <x:c r="J223" s="25"/>
      <x:c r="K223" s="25"/>
      <x:c r="L223" s="25"/>
      <x:c r="M223" s="25"/>
      <x:c r="N223" s="25"/>
      <x:c r="O223" s="25"/>
      <x:c r="P223" s="25"/>
      <x:c r="Q223" s="25"/>
      <x:c r="R223" s="25"/>
      <x:c r="S223" s="25"/>
      <x:c r="T223" s="25"/>
      <x:c r="U223" s="25"/>
      <x:c r="V223" s="25"/>
      <x:c r="W223" s="25"/>
      <x:c r="X223" s="25"/>
      <x:c r="Y223" s="25"/>
      <x:c r="Z223" s="25"/>
    </x:row>
    <x:row r="224">
      <x:c r="A224" s="25"/>
      <x:c r="B224" s="25"/>
      <x:c r="C224" s="25"/>
      <x:c r="D224" s="25"/>
      <x:c r="E224" s="25"/>
      <x:c r="F224" s="25"/>
      <x:c r="G224" s="25"/>
      <x:c r="H224" s="25"/>
      <x:c r="I224" s="25"/>
      <x:c r="J224" s="25"/>
      <x:c r="K224" s="25"/>
      <x:c r="L224" s="25"/>
      <x:c r="M224" s="25"/>
      <x:c r="N224" s="25"/>
      <x:c r="O224" s="25"/>
      <x:c r="P224" s="25"/>
      <x:c r="Q224" s="25"/>
      <x:c r="R224" s="25"/>
      <x:c r="S224" s="25"/>
      <x:c r="T224" s="25"/>
      <x:c r="U224" s="25"/>
      <x:c r="V224" s="25"/>
      <x:c r="W224" s="25"/>
      <x:c r="X224" s="25"/>
      <x:c r="Y224" s="25"/>
      <x:c r="Z224" s="25"/>
    </x:row>
    <x:row r="225">
      <x:c r="A225" s="25"/>
      <x:c r="B225" s="25"/>
      <x:c r="C225" s="25"/>
      <x:c r="D225" s="25"/>
      <x:c r="E225" s="25"/>
      <x:c r="F225" s="25"/>
      <x:c r="G225" s="25"/>
      <x:c r="H225" s="25"/>
      <x:c r="I225" s="25"/>
      <x:c r="J225" s="25"/>
      <x:c r="K225" s="25"/>
      <x:c r="L225" s="25"/>
      <x:c r="M225" s="25"/>
      <x:c r="N225" s="25"/>
      <x:c r="O225" s="25"/>
      <x:c r="P225" s="25"/>
      <x:c r="Q225" s="25"/>
      <x:c r="R225" s="25"/>
      <x:c r="S225" s="25"/>
      <x:c r="T225" s="25"/>
      <x:c r="U225" s="25"/>
      <x:c r="V225" s="25"/>
      <x:c r="W225" s="25"/>
      <x:c r="X225" s="25"/>
      <x:c r="Y225" s="25"/>
      <x:c r="Z225" s="25"/>
    </x:row>
    <x:row r="226">
      <x:c r="A226" s="25"/>
      <x:c r="B226" s="25"/>
      <x:c r="C226" s="25"/>
      <x:c r="D226" s="25"/>
      <x:c r="E226" s="25"/>
      <x:c r="F226" s="25"/>
      <x:c r="G226" s="25"/>
      <x:c r="H226" s="25"/>
      <x:c r="I226" s="25"/>
      <x:c r="J226" s="25"/>
      <x:c r="K226" s="25"/>
      <x:c r="L226" s="25"/>
      <x:c r="M226" s="25"/>
      <x:c r="N226" s="25"/>
      <x:c r="O226" s="25"/>
      <x:c r="P226" s="25"/>
      <x:c r="Q226" s="25"/>
      <x:c r="R226" s="25"/>
      <x:c r="S226" s="25"/>
      <x:c r="T226" s="25"/>
      <x:c r="U226" s="25"/>
      <x:c r="V226" s="25"/>
      <x:c r="W226" s="25"/>
      <x:c r="X226" s="25"/>
      <x:c r="Y226" s="25"/>
      <x:c r="Z226" s="25"/>
    </x:row>
    <x:row r="227">
      <x:c r="A227" s="25"/>
      <x:c r="B227" s="25"/>
      <x:c r="C227" s="25"/>
      <x:c r="D227" s="25"/>
      <x:c r="E227" s="25"/>
      <x:c r="F227" s="25"/>
      <x:c r="G227" s="25"/>
      <x:c r="H227" s="25"/>
      <x:c r="I227" s="25"/>
      <x:c r="J227" s="25"/>
      <x:c r="K227" s="25"/>
      <x:c r="L227" s="25"/>
      <x:c r="M227" s="25"/>
      <x:c r="N227" s="25"/>
      <x:c r="O227" s="25"/>
      <x:c r="P227" s="25"/>
      <x:c r="Q227" s="25"/>
      <x:c r="R227" s="25"/>
      <x:c r="S227" s="25"/>
      <x:c r="T227" s="25"/>
      <x:c r="U227" s="25"/>
      <x:c r="V227" s="25"/>
      <x:c r="W227" s="25"/>
      <x:c r="X227" s="25"/>
      <x:c r="Y227" s="25"/>
      <x:c r="Z227" s="25"/>
    </x:row>
    <x:row r="228">
      <x:c r="A228" s="25"/>
      <x:c r="B228" s="25"/>
      <x:c r="C228" s="25"/>
      <x:c r="D228" s="25"/>
      <x:c r="E228" s="25"/>
      <x:c r="F228" s="25"/>
      <x:c r="G228" s="25"/>
      <x:c r="H228" s="25"/>
      <x:c r="I228" s="25"/>
      <x:c r="J228" s="25"/>
      <x:c r="K228" s="25"/>
      <x:c r="L228" s="25"/>
      <x:c r="M228" s="25"/>
      <x:c r="N228" s="25"/>
      <x:c r="O228" s="25"/>
      <x:c r="P228" s="25"/>
      <x:c r="Q228" s="25"/>
      <x:c r="R228" s="25"/>
      <x:c r="S228" s="25"/>
      <x:c r="T228" s="25"/>
      <x:c r="U228" s="25"/>
      <x:c r="V228" s="25"/>
      <x:c r="W228" s="25"/>
      <x:c r="X228" s="25"/>
      <x:c r="Y228" s="25"/>
      <x:c r="Z228" s="25"/>
    </x:row>
    <x:row r="229">
      <x:c r="A229" s="25"/>
      <x:c r="B229" s="25"/>
      <x:c r="C229" s="25"/>
      <x:c r="D229" s="25"/>
      <x:c r="E229" s="25"/>
      <x:c r="F229" s="25"/>
      <x:c r="G229" s="25"/>
      <x:c r="H229" s="25"/>
      <x:c r="I229" s="25"/>
      <x:c r="J229" s="25"/>
      <x:c r="K229" s="25"/>
      <x:c r="L229" s="25"/>
      <x:c r="M229" s="25"/>
      <x:c r="N229" s="25"/>
      <x:c r="O229" s="25"/>
      <x:c r="P229" s="25"/>
      <x:c r="Q229" s="25"/>
      <x:c r="R229" s="25"/>
      <x:c r="S229" s="25"/>
      <x:c r="T229" s="25"/>
      <x:c r="U229" s="25"/>
      <x:c r="V229" s="25"/>
      <x:c r="W229" s="25"/>
      <x:c r="X229" s="25"/>
      <x:c r="Y229" s="25"/>
      <x:c r="Z229" s="25"/>
    </x:row>
    <x:row r="230">
      <x:c r="A230" s="25"/>
      <x:c r="B230" s="25"/>
      <x:c r="C230" s="25"/>
      <x:c r="D230" s="25"/>
      <x:c r="E230" s="25"/>
      <x:c r="F230" s="25"/>
      <x:c r="G230" s="25"/>
      <x:c r="H230" s="25"/>
      <x:c r="I230" s="25"/>
      <x:c r="J230" s="25"/>
      <x:c r="K230" s="25"/>
      <x:c r="L230" s="25"/>
      <x:c r="M230" s="25"/>
      <x:c r="N230" s="25"/>
      <x:c r="O230" s="25"/>
      <x:c r="P230" s="25"/>
      <x:c r="Q230" s="25"/>
      <x:c r="R230" s="25"/>
      <x:c r="S230" s="25"/>
      <x:c r="T230" s="25"/>
      <x:c r="U230" s="25"/>
      <x:c r="V230" s="25"/>
      <x:c r="W230" s="25"/>
      <x:c r="X230" s="25"/>
      <x:c r="Y230" s="25"/>
      <x:c r="Z230" s="25"/>
    </x:row>
    <x:row r="231">
      <x:c r="A231" s="25"/>
      <x:c r="B231" s="25"/>
      <x:c r="C231" s="25"/>
      <x:c r="D231" s="25"/>
      <x:c r="E231" s="25"/>
      <x:c r="F231" s="25"/>
      <x:c r="G231" s="25"/>
      <x:c r="H231" s="25"/>
      <x:c r="I231" s="25"/>
      <x:c r="J231" s="25"/>
      <x:c r="K231" s="25"/>
      <x:c r="L231" s="25"/>
      <x:c r="M231" s="25"/>
      <x:c r="N231" s="25"/>
      <x:c r="O231" s="25"/>
      <x:c r="P231" s="25"/>
      <x:c r="Q231" s="25"/>
      <x:c r="R231" s="25"/>
      <x:c r="S231" s="25"/>
      <x:c r="T231" s="25"/>
      <x:c r="U231" s="25"/>
      <x:c r="V231" s="25"/>
      <x:c r="W231" s="25"/>
      <x:c r="X231" s="25"/>
      <x:c r="Y231" s="25"/>
      <x:c r="Z231" s="25"/>
    </x:row>
    <x:row r="232">
      <x:c r="A232" s="25"/>
      <x:c r="B232" s="25"/>
      <x:c r="C232" s="25"/>
      <x:c r="D232" s="25"/>
      <x:c r="E232" s="25"/>
      <x:c r="F232" s="25"/>
      <x:c r="G232" s="25"/>
      <x:c r="H232" s="25"/>
      <x:c r="I232" s="25"/>
      <x:c r="J232" s="25"/>
      <x:c r="K232" s="25"/>
      <x:c r="L232" s="25"/>
      <x:c r="M232" s="25"/>
      <x:c r="N232" s="25"/>
      <x:c r="O232" s="25"/>
      <x:c r="P232" s="25"/>
      <x:c r="Q232" s="25"/>
      <x:c r="R232" s="25"/>
      <x:c r="S232" s="25"/>
      <x:c r="T232" s="25"/>
      <x:c r="U232" s="25"/>
      <x:c r="V232" s="25"/>
      <x:c r="W232" s="25"/>
      <x:c r="X232" s="25"/>
      <x:c r="Y232" s="25"/>
      <x:c r="Z232" s="25"/>
    </x:row>
    <x:row r="233">
      <x:c r="A233" s="25"/>
      <x:c r="B233" s="25"/>
      <x:c r="C233" s="25"/>
      <x:c r="D233" s="25"/>
      <x:c r="E233" s="25"/>
      <x:c r="F233" s="25"/>
      <x:c r="G233" s="25"/>
      <x:c r="H233" s="25"/>
      <x:c r="I233" s="25"/>
      <x:c r="J233" s="25"/>
      <x:c r="K233" s="25"/>
      <x:c r="L233" s="25"/>
      <x:c r="M233" s="25"/>
      <x:c r="N233" s="25"/>
      <x:c r="O233" s="25"/>
      <x:c r="P233" s="25"/>
      <x:c r="Q233" s="25"/>
      <x:c r="R233" s="25"/>
      <x:c r="S233" s="25"/>
      <x:c r="T233" s="25"/>
      <x:c r="U233" s="25"/>
      <x:c r="V233" s="25"/>
      <x:c r="W233" s="25"/>
      <x:c r="X233" s="25"/>
      <x:c r="Y233" s="25"/>
      <x:c r="Z233" s="25"/>
    </x:row>
    <x:row r="234">
      <x:c r="A234" s="25"/>
      <x:c r="B234" s="25"/>
      <x:c r="C234" s="25"/>
      <x:c r="D234" s="25"/>
      <x:c r="E234" s="25"/>
      <x:c r="F234" s="25"/>
      <x:c r="G234" s="25"/>
      <x:c r="H234" s="25"/>
      <x:c r="I234" s="25"/>
      <x:c r="J234" s="25"/>
      <x:c r="K234" s="25"/>
      <x:c r="L234" s="25"/>
      <x:c r="M234" s="25"/>
      <x:c r="N234" s="25"/>
      <x:c r="O234" s="25"/>
      <x:c r="P234" s="25"/>
      <x:c r="Q234" s="25"/>
      <x:c r="R234" s="25"/>
      <x:c r="S234" s="25"/>
      <x:c r="T234" s="25"/>
      <x:c r="U234" s="25"/>
      <x:c r="V234" s="25"/>
      <x:c r="W234" s="25"/>
      <x:c r="X234" s="25"/>
      <x:c r="Y234" s="25"/>
      <x:c r="Z234" s="25"/>
    </x:row>
    <x:row r="235">
      <x:c r="A235" s="25"/>
      <x:c r="B235" s="25"/>
      <x:c r="C235" s="25"/>
      <x:c r="D235" s="25"/>
      <x:c r="E235" s="25"/>
      <x:c r="F235" s="25"/>
      <x:c r="G235" s="25"/>
      <x:c r="H235" s="25"/>
      <x:c r="I235" s="25"/>
      <x:c r="J235" s="25"/>
      <x:c r="K235" s="25"/>
      <x:c r="L235" s="25"/>
      <x:c r="M235" s="25"/>
      <x:c r="N235" s="25"/>
      <x:c r="O235" s="25"/>
      <x:c r="P235" s="25"/>
      <x:c r="Q235" s="25"/>
      <x:c r="R235" s="25"/>
      <x:c r="S235" s="25"/>
      <x:c r="T235" s="25"/>
      <x:c r="U235" s="25"/>
      <x:c r="V235" s="25"/>
      <x:c r="W235" s="25"/>
      <x:c r="X235" s="25"/>
      <x:c r="Y235" s="25"/>
      <x:c r="Z235" s="25"/>
    </x:row>
    <x:row r="236">
      <x:c r="A236" s="25"/>
      <x:c r="B236" s="25"/>
      <x:c r="C236" s="25"/>
      <x:c r="D236" s="25"/>
      <x:c r="E236" s="25"/>
      <x:c r="F236" s="25"/>
      <x:c r="G236" s="25"/>
      <x:c r="H236" s="25"/>
      <x:c r="I236" s="25"/>
      <x:c r="J236" s="25"/>
      <x:c r="K236" s="25"/>
      <x:c r="L236" s="25"/>
      <x:c r="M236" s="25"/>
      <x:c r="N236" s="25"/>
      <x:c r="O236" s="25"/>
      <x:c r="P236" s="25"/>
      <x:c r="Q236" s="25"/>
      <x:c r="R236" s="25"/>
      <x:c r="S236" s="25"/>
      <x:c r="T236" s="25"/>
      <x:c r="U236" s="25"/>
      <x:c r="V236" s="25"/>
      <x:c r="W236" s="25"/>
      <x:c r="X236" s="25"/>
      <x:c r="Y236" s="25"/>
      <x:c r="Z236" s="25"/>
    </x:row>
    <x:row r="237">
      <x:c r="A237" s="25"/>
      <x:c r="B237" s="25"/>
      <x:c r="C237" s="25"/>
      <x:c r="D237" s="25"/>
      <x:c r="E237" s="25"/>
      <x:c r="F237" s="25"/>
      <x:c r="G237" s="25"/>
      <x:c r="H237" s="25"/>
      <x:c r="I237" s="25"/>
      <x:c r="J237" s="25"/>
      <x:c r="K237" s="25"/>
      <x:c r="L237" s="25"/>
      <x:c r="M237" s="25"/>
      <x:c r="N237" s="25"/>
      <x:c r="O237" s="25"/>
      <x:c r="P237" s="25"/>
      <x:c r="Q237" s="25"/>
      <x:c r="R237" s="25"/>
      <x:c r="S237" s="25"/>
      <x:c r="T237" s="25"/>
      <x:c r="U237" s="25"/>
      <x:c r="V237" s="25"/>
      <x:c r="W237" s="25"/>
      <x:c r="X237" s="25"/>
      <x:c r="Y237" s="25"/>
      <x:c r="Z237" s="25"/>
    </x:row>
    <x:row r="238">
      <x:c r="A238" s="25"/>
      <x:c r="B238" s="25"/>
      <x:c r="C238" s="25"/>
      <x:c r="D238" s="25"/>
      <x:c r="E238" s="25"/>
      <x:c r="F238" s="25"/>
      <x:c r="G238" s="25"/>
      <x:c r="H238" s="25"/>
      <x:c r="I238" s="25"/>
      <x:c r="J238" s="25"/>
      <x:c r="K238" s="25"/>
      <x:c r="L238" s="25"/>
      <x:c r="M238" s="25"/>
      <x:c r="N238" s="25"/>
      <x:c r="O238" s="25"/>
      <x:c r="P238" s="25"/>
      <x:c r="Q238" s="25"/>
      <x:c r="R238" s="25"/>
      <x:c r="S238" s="25"/>
      <x:c r="T238" s="25"/>
      <x:c r="U238" s="25"/>
      <x:c r="V238" s="25"/>
      <x:c r="W238" s="25"/>
      <x:c r="X238" s="25"/>
      <x:c r="Y238" s="25"/>
      <x:c r="Z238" s="25"/>
    </x:row>
    <x:row r="239">
      <x:c r="A239" s="25"/>
      <x:c r="B239" s="25"/>
      <x:c r="C239" s="25"/>
      <x:c r="D239" s="25"/>
      <x:c r="E239" s="25"/>
      <x:c r="F239" s="25"/>
      <x:c r="G239" s="25"/>
      <x:c r="H239" s="25"/>
      <x:c r="I239" s="25"/>
      <x:c r="J239" s="25"/>
      <x:c r="K239" s="25"/>
      <x:c r="L239" s="25"/>
      <x:c r="M239" s="25"/>
      <x:c r="N239" s="25"/>
      <x:c r="O239" s="25"/>
      <x:c r="P239" s="25"/>
      <x:c r="Q239" s="25"/>
      <x:c r="R239" s="25"/>
      <x:c r="S239" s="25"/>
      <x:c r="T239" s="25"/>
      <x:c r="U239" s="25"/>
      <x:c r="V239" s="25"/>
      <x:c r="W239" s="25"/>
      <x:c r="X239" s="25"/>
      <x:c r="Y239" s="25"/>
      <x:c r="Z239" s="25"/>
    </x:row>
    <x:row r="240">
      <x:c r="A240" s="25"/>
      <x:c r="B240" s="25"/>
      <x:c r="C240" s="25"/>
      <x:c r="D240" s="25"/>
      <x:c r="E240" s="25"/>
      <x:c r="F240" s="25"/>
      <x:c r="G240" s="25"/>
      <x:c r="H240" s="25"/>
      <x:c r="I240" s="25"/>
      <x:c r="J240" s="25"/>
      <x:c r="K240" s="25"/>
      <x:c r="L240" s="25"/>
      <x:c r="M240" s="25"/>
      <x:c r="N240" s="25"/>
      <x:c r="O240" s="25"/>
      <x:c r="P240" s="25"/>
      <x:c r="Q240" s="25"/>
      <x:c r="R240" s="25"/>
      <x:c r="S240" s="25"/>
      <x:c r="T240" s="25"/>
      <x:c r="U240" s="25"/>
      <x:c r="V240" s="25"/>
      <x:c r="W240" s="25"/>
      <x:c r="X240" s="25"/>
      <x:c r="Y240" s="25"/>
      <x:c r="Z240" s="25"/>
    </x:row>
    <x:row r="241">
      <x:c r="A241" s="25"/>
      <x:c r="B241" s="25"/>
      <x:c r="C241" s="25"/>
      <x:c r="D241" s="25"/>
      <x:c r="E241" s="25"/>
      <x:c r="F241" s="25"/>
      <x:c r="G241" s="25"/>
      <x:c r="H241" s="25"/>
      <x:c r="I241" s="25"/>
      <x:c r="J241" s="25"/>
      <x:c r="K241" s="25"/>
      <x:c r="L241" s="25"/>
      <x:c r="M241" s="25"/>
      <x:c r="N241" s="25"/>
      <x:c r="O241" s="25"/>
      <x:c r="P241" s="25"/>
      <x:c r="Q241" s="25"/>
      <x:c r="R241" s="25"/>
      <x:c r="S241" s="25"/>
      <x:c r="T241" s="25"/>
      <x:c r="U241" s="25"/>
      <x:c r="V241" s="25"/>
      <x:c r="W241" s="25"/>
      <x:c r="X241" s="25"/>
      <x:c r="Y241" s="25"/>
      <x:c r="Z241" s="25"/>
    </x:row>
    <x:row r="242">
      <x:c r="A242" s="25"/>
      <x:c r="B242" s="25"/>
      <x:c r="C242" s="25"/>
      <x:c r="D242" s="25"/>
      <x:c r="E242" s="25"/>
      <x:c r="F242" s="25"/>
      <x:c r="G242" s="25"/>
      <x:c r="H242" s="25"/>
      <x:c r="I242" s="25"/>
      <x:c r="J242" s="25"/>
      <x:c r="K242" s="25"/>
      <x:c r="L242" s="25"/>
      <x:c r="M242" s="25"/>
      <x:c r="N242" s="25"/>
      <x:c r="O242" s="25"/>
      <x:c r="P242" s="25"/>
      <x:c r="Q242" s="25"/>
      <x:c r="R242" s="25"/>
      <x:c r="S242" s="25"/>
      <x:c r="T242" s="25"/>
      <x:c r="U242" s="25"/>
      <x:c r="V242" s="25"/>
      <x:c r="W242" s="25"/>
      <x:c r="X242" s="25"/>
      <x:c r="Y242" s="25"/>
      <x:c r="Z242" s="25"/>
    </x:row>
    <x:row r="243">
      <x:c r="A243" s="25"/>
      <x:c r="B243" s="25"/>
      <x:c r="C243" s="25"/>
      <x:c r="D243" s="25"/>
      <x:c r="E243" s="25"/>
      <x:c r="F243" s="25"/>
      <x:c r="G243" s="25"/>
      <x:c r="H243" s="25"/>
      <x:c r="I243" s="25"/>
      <x:c r="J243" s="25"/>
      <x:c r="K243" s="25"/>
      <x:c r="L243" s="25"/>
      <x:c r="M243" s="25"/>
      <x:c r="N243" s="25"/>
      <x:c r="O243" s="25"/>
      <x:c r="P243" s="25"/>
      <x:c r="Q243" s="25"/>
      <x:c r="R243" s="25"/>
      <x:c r="S243" s="25"/>
      <x:c r="T243" s="25"/>
      <x:c r="U243" s="25"/>
      <x:c r="V243" s="25"/>
      <x:c r="W243" s="25"/>
      <x:c r="X243" s="25"/>
      <x:c r="Y243" s="25"/>
      <x:c r="Z243" s="25"/>
    </x:row>
    <x:row r="244">
      <x:c r="A244" s="25"/>
      <x:c r="B244" s="25"/>
      <x:c r="C244" s="25"/>
      <x:c r="D244" s="25"/>
      <x:c r="E244" s="25"/>
      <x:c r="F244" s="25"/>
      <x:c r="G244" s="25"/>
      <x:c r="H244" s="25"/>
      <x:c r="I244" s="25"/>
      <x:c r="J244" s="25"/>
      <x:c r="K244" s="25"/>
      <x:c r="L244" s="25"/>
      <x:c r="M244" s="25"/>
      <x:c r="N244" s="25"/>
      <x:c r="O244" s="25"/>
      <x:c r="P244" s="25"/>
      <x:c r="Q244" s="25"/>
      <x:c r="R244" s="25"/>
      <x:c r="S244" s="25"/>
      <x:c r="T244" s="25"/>
      <x:c r="U244" s="25"/>
      <x:c r="V244" s="25"/>
      <x:c r="W244" s="25"/>
      <x:c r="X244" s="25"/>
      <x:c r="Y244" s="25"/>
      <x:c r="Z244" s="25"/>
    </x:row>
    <x:row r="245">
      <x:c r="A245" s="25"/>
      <x:c r="B245" s="25"/>
      <x:c r="C245" s="25"/>
      <x:c r="D245" s="25"/>
      <x:c r="E245" s="25"/>
      <x:c r="F245" s="25"/>
      <x:c r="G245" s="25"/>
      <x:c r="H245" s="25"/>
      <x:c r="I245" s="25"/>
      <x:c r="J245" s="25"/>
      <x:c r="K245" s="25"/>
      <x:c r="L245" s="25"/>
      <x:c r="M245" s="25"/>
      <x:c r="N245" s="25"/>
      <x:c r="O245" s="25"/>
      <x:c r="P245" s="25"/>
      <x:c r="Q245" s="25"/>
      <x:c r="R245" s="25"/>
      <x:c r="S245" s="25"/>
      <x:c r="T245" s="25"/>
      <x:c r="U245" s="25"/>
      <x:c r="V245" s="25"/>
      <x:c r="W245" s="25"/>
      <x:c r="X245" s="25"/>
      <x:c r="Y245" s="25"/>
      <x:c r="Z245" s="25"/>
    </x:row>
    <x:row r="246">
      <x:c r="A246" s="25"/>
      <x:c r="B246" s="25"/>
      <x:c r="C246" s="25"/>
      <x:c r="D246" s="25"/>
      <x:c r="E246" s="25"/>
      <x:c r="F246" s="25"/>
      <x:c r="G246" s="25"/>
      <x:c r="H246" s="25"/>
      <x:c r="I246" s="25"/>
      <x:c r="J246" s="25"/>
      <x:c r="K246" s="25"/>
      <x:c r="L246" s="25"/>
      <x:c r="M246" s="25"/>
      <x:c r="N246" s="25"/>
      <x:c r="O246" s="25"/>
      <x:c r="P246" s="25"/>
      <x:c r="Q246" s="25"/>
      <x:c r="R246" s="25"/>
      <x:c r="S246" s="25"/>
      <x:c r="T246" s="25"/>
      <x:c r="U246" s="25"/>
      <x:c r="V246" s="25"/>
      <x:c r="W246" s="25"/>
      <x:c r="X246" s="25"/>
      <x:c r="Y246" s="25"/>
      <x:c r="Z246" s="25"/>
    </x:row>
    <x:row r="247">
      <x:c r="A247" s="25"/>
      <x:c r="B247" s="25"/>
      <x:c r="C247" s="25"/>
      <x:c r="D247" s="25"/>
      <x:c r="E247" s="25"/>
      <x:c r="F247" s="25"/>
      <x:c r="G247" s="25"/>
      <x:c r="H247" s="25"/>
      <x:c r="I247" s="25"/>
      <x:c r="J247" s="25"/>
      <x:c r="K247" s="25"/>
      <x:c r="L247" s="25"/>
      <x:c r="M247" s="25"/>
      <x:c r="N247" s="25"/>
      <x:c r="O247" s="25"/>
      <x:c r="P247" s="25"/>
      <x:c r="Q247" s="25"/>
      <x:c r="R247" s="25"/>
      <x:c r="S247" s="25"/>
      <x:c r="T247" s="25"/>
      <x:c r="U247" s="25"/>
      <x:c r="V247" s="25"/>
      <x:c r="W247" s="25"/>
      <x:c r="X247" s="25"/>
      <x:c r="Y247" s="25"/>
      <x:c r="Z247" s="25"/>
    </x:row>
    <x:row r="248">
      <x:c r="A248" s="25"/>
      <x:c r="B248" s="25"/>
      <x:c r="C248" s="25"/>
      <x:c r="D248" s="25"/>
      <x:c r="E248" s="25"/>
      <x:c r="F248" s="25"/>
      <x:c r="G248" s="25"/>
      <x:c r="H248" s="25"/>
      <x:c r="I248" s="25"/>
      <x:c r="J248" s="25"/>
      <x:c r="K248" s="25"/>
      <x:c r="L248" s="25"/>
      <x:c r="M248" s="25"/>
      <x:c r="N248" s="25"/>
      <x:c r="O248" s="25"/>
      <x:c r="P248" s="25"/>
      <x:c r="Q248" s="25"/>
      <x:c r="R248" s="25"/>
      <x:c r="S248" s="25"/>
      <x:c r="T248" s="25"/>
      <x:c r="U248" s="25"/>
      <x:c r="V248" s="25"/>
      <x:c r="W248" s="25"/>
      <x:c r="X248" s="25"/>
      <x:c r="Y248" s="25"/>
      <x:c r="Z248" s="25"/>
    </x:row>
    <x:row r="249">
      <x:c r="A249" s="25"/>
      <x:c r="B249" s="25"/>
      <x:c r="C249" s="25"/>
      <x:c r="D249" s="25"/>
      <x:c r="E249" s="25"/>
      <x:c r="F249" s="25"/>
      <x:c r="G249" s="25"/>
      <x:c r="H249" s="25"/>
      <x:c r="I249" s="25"/>
      <x:c r="J249" s="25"/>
      <x:c r="K249" s="25"/>
      <x:c r="L249" s="25"/>
      <x:c r="M249" s="25"/>
      <x:c r="N249" s="25"/>
      <x:c r="O249" s="25"/>
      <x:c r="P249" s="25"/>
      <x:c r="Q249" s="25"/>
      <x:c r="R249" s="25"/>
      <x:c r="S249" s="25"/>
      <x:c r="T249" s="25"/>
      <x:c r="U249" s="25"/>
      <x:c r="V249" s="25"/>
      <x:c r="W249" s="25"/>
      <x:c r="X249" s="25"/>
      <x:c r="Y249" s="25"/>
      <x:c r="Z249" s="25"/>
    </x:row>
    <x:row r="250">
      <x:c r="A250" s="25"/>
      <x:c r="B250" s="25"/>
      <x:c r="C250" s="25"/>
      <x:c r="D250" s="25"/>
      <x:c r="E250" s="25"/>
      <x:c r="F250" s="25"/>
      <x:c r="G250" s="25"/>
      <x:c r="H250" s="25"/>
      <x:c r="I250" s="25"/>
      <x:c r="J250" s="25"/>
      <x:c r="K250" s="25"/>
      <x:c r="L250" s="25"/>
      <x:c r="M250" s="25"/>
      <x:c r="N250" s="25"/>
      <x:c r="O250" s="25"/>
      <x:c r="P250" s="25"/>
      <x:c r="Q250" s="25"/>
      <x:c r="R250" s="25"/>
      <x:c r="S250" s="25"/>
      <x:c r="T250" s="25"/>
      <x:c r="U250" s="25"/>
      <x:c r="V250" s="25"/>
      <x:c r="W250" s="25"/>
      <x:c r="X250" s="25"/>
      <x:c r="Y250" s="25"/>
      <x:c r="Z250" s="25"/>
    </x:row>
    <x:row r="251">
      <x:c r="A251" s="25"/>
      <x:c r="B251" s="25"/>
      <x:c r="C251" s="25"/>
      <x:c r="D251" s="25"/>
      <x:c r="E251" s="25"/>
      <x:c r="F251" s="25"/>
      <x:c r="G251" s="25"/>
      <x:c r="H251" s="25"/>
      <x:c r="I251" s="25"/>
      <x:c r="J251" s="25"/>
      <x:c r="K251" s="25"/>
      <x:c r="L251" s="25"/>
      <x:c r="M251" s="25"/>
      <x:c r="N251" s="25"/>
      <x:c r="O251" s="25"/>
      <x:c r="P251" s="25"/>
      <x:c r="Q251" s="25"/>
      <x:c r="R251" s="25"/>
      <x:c r="S251" s="25"/>
      <x:c r="T251" s="25"/>
      <x:c r="U251" s="25"/>
      <x:c r="V251" s="25"/>
      <x:c r="W251" s="25"/>
      <x:c r="X251" s="25"/>
      <x:c r="Y251" s="25"/>
      <x:c r="Z251" s="25"/>
    </x:row>
    <x:row r="252">
      <x:c r="A252" s="25"/>
      <x:c r="B252" s="25"/>
      <x:c r="C252" s="25"/>
      <x:c r="D252" s="25"/>
      <x:c r="E252" s="25"/>
      <x:c r="F252" s="25"/>
      <x:c r="G252" s="25"/>
      <x:c r="H252" s="25"/>
      <x:c r="I252" s="25"/>
      <x:c r="J252" s="25"/>
      <x:c r="K252" s="25"/>
      <x:c r="L252" s="25"/>
      <x:c r="M252" s="25"/>
      <x:c r="N252" s="25"/>
      <x:c r="O252" s="25"/>
      <x:c r="P252" s="25"/>
      <x:c r="Q252" s="25"/>
      <x:c r="R252" s="25"/>
      <x:c r="S252" s="25"/>
      <x:c r="T252" s="25"/>
      <x:c r="U252" s="25"/>
      <x:c r="V252" s="25"/>
      <x:c r="W252" s="25"/>
      <x:c r="X252" s="25"/>
      <x:c r="Y252" s="25"/>
      <x:c r="Z252" s="25"/>
    </x:row>
    <x:row r="253">
      <x:c r="A253" s="25"/>
      <x:c r="B253" s="25"/>
      <x:c r="C253" s="25"/>
      <x:c r="D253" s="25"/>
      <x:c r="E253" s="25"/>
      <x:c r="F253" s="25"/>
      <x:c r="G253" s="25"/>
      <x:c r="H253" s="25"/>
      <x:c r="I253" s="25"/>
      <x:c r="J253" s="25"/>
      <x:c r="K253" s="25"/>
      <x:c r="L253" s="25"/>
      <x:c r="M253" s="25"/>
      <x:c r="N253" s="25"/>
      <x:c r="O253" s="25"/>
      <x:c r="P253" s="25"/>
      <x:c r="Q253" s="25"/>
      <x:c r="R253" s="25"/>
      <x:c r="S253" s="25"/>
      <x:c r="T253" s="25"/>
      <x:c r="U253" s="25"/>
      <x:c r="V253" s="25"/>
      <x:c r="W253" s="25"/>
      <x:c r="X253" s="25"/>
      <x:c r="Y253" s="25"/>
      <x:c r="Z253" s="25"/>
    </x:row>
    <x:row r="254">
      <x:c r="A254" s="25"/>
      <x:c r="B254" s="25"/>
      <x:c r="C254" s="25"/>
      <x:c r="D254" s="25"/>
      <x:c r="E254" s="25"/>
      <x:c r="F254" s="25"/>
      <x:c r="G254" s="25"/>
      <x:c r="H254" s="25"/>
      <x:c r="I254" s="25"/>
      <x:c r="J254" s="25"/>
      <x:c r="K254" s="25"/>
      <x:c r="L254" s="25"/>
      <x:c r="M254" s="25"/>
      <x:c r="N254" s="25"/>
      <x:c r="O254" s="25"/>
      <x:c r="P254" s="25"/>
      <x:c r="Q254" s="25"/>
      <x:c r="R254" s="25"/>
      <x:c r="S254" s="25"/>
      <x:c r="T254" s="25"/>
      <x:c r="U254" s="25"/>
      <x:c r="V254" s="25"/>
      <x:c r="W254" s="25"/>
      <x:c r="X254" s="25"/>
      <x:c r="Y254" s="25"/>
      <x:c r="Z254" s="25"/>
    </x:row>
    <x:row r="255">
      <x:c r="A255" s="25"/>
      <x:c r="B255" s="25"/>
      <x:c r="C255" s="25"/>
      <x:c r="D255" s="25"/>
      <x:c r="E255" s="25"/>
      <x:c r="F255" s="25"/>
      <x:c r="G255" s="25"/>
      <x:c r="H255" s="25"/>
      <x:c r="I255" s="25"/>
      <x:c r="J255" s="25"/>
      <x:c r="K255" s="25"/>
      <x:c r="L255" s="25"/>
      <x:c r="M255" s="25"/>
      <x:c r="N255" s="25"/>
      <x:c r="O255" s="25"/>
      <x:c r="P255" s="25"/>
      <x:c r="Q255" s="25"/>
      <x:c r="R255" s="25"/>
      <x:c r="S255" s="25"/>
      <x:c r="T255" s="25"/>
      <x:c r="U255" s="25"/>
      <x:c r="V255" s="25"/>
      <x:c r="W255" s="25"/>
      <x:c r="X255" s="25"/>
      <x:c r="Y255" s="25"/>
      <x:c r="Z255" s="25"/>
    </x:row>
    <x:row r="256">
      <x:c r="A256" s="25"/>
      <x:c r="B256" s="25"/>
      <x:c r="C256" s="25"/>
      <x:c r="D256" s="25"/>
      <x:c r="E256" s="25"/>
      <x:c r="F256" s="25"/>
      <x:c r="G256" s="25"/>
      <x:c r="H256" s="25"/>
      <x:c r="I256" s="25"/>
      <x:c r="J256" s="25"/>
      <x:c r="K256" s="25"/>
      <x:c r="L256" s="25"/>
      <x:c r="M256" s="25"/>
      <x:c r="N256" s="25"/>
      <x:c r="O256" s="25"/>
      <x:c r="P256" s="25"/>
      <x:c r="Q256" s="25"/>
      <x:c r="R256" s="25"/>
      <x:c r="S256" s="25"/>
      <x:c r="T256" s="25"/>
      <x:c r="U256" s="25"/>
      <x:c r="V256" s="25"/>
      <x:c r="W256" s="25"/>
      <x:c r="X256" s="25"/>
      <x:c r="Y256" s="25"/>
      <x:c r="Z256" s="25"/>
    </x:row>
    <x:row r="257">
      <x:c r="A257" s="25"/>
      <x:c r="B257" s="25"/>
      <x:c r="C257" s="25"/>
      <x:c r="D257" s="25"/>
      <x:c r="E257" s="25"/>
      <x:c r="F257" s="25"/>
      <x:c r="G257" s="25"/>
      <x:c r="H257" s="25"/>
      <x:c r="I257" s="25"/>
      <x:c r="J257" s="25"/>
      <x:c r="K257" s="25"/>
      <x:c r="L257" s="25"/>
      <x:c r="M257" s="25"/>
      <x:c r="N257" s="25"/>
      <x:c r="O257" s="25"/>
      <x:c r="P257" s="25"/>
      <x:c r="Q257" s="25"/>
      <x:c r="R257" s="25"/>
      <x:c r="S257" s="25"/>
      <x:c r="T257" s="25"/>
      <x:c r="U257" s="25"/>
      <x:c r="V257" s="25"/>
      <x:c r="W257" s="25"/>
      <x:c r="X257" s="25"/>
      <x:c r="Y257" s="25"/>
      <x:c r="Z257" s="25"/>
    </x:row>
    <x:row r="258">
      <x:c r="A258" s="25"/>
      <x:c r="B258" s="25"/>
      <x:c r="C258" s="25"/>
      <x:c r="D258" s="25"/>
      <x:c r="E258" s="25"/>
      <x:c r="F258" s="25"/>
      <x:c r="G258" s="25"/>
      <x:c r="H258" s="25"/>
      <x:c r="I258" s="25"/>
      <x:c r="J258" s="25"/>
      <x:c r="K258" s="25"/>
      <x:c r="L258" s="25"/>
      <x:c r="M258" s="25"/>
      <x:c r="N258" s="25"/>
      <x:c r="O258" s="25"/>
      <x:c r="P258" s="25"/>
      <x:c r="Q258" s="25"/>
      <x:c r="R258" s="25"/>
      <x:c r="S258" s="25"/>
      <x:c r="T258" s="25"/>
      <x:c r="U258" s="25"/>
      <x:c r="V258" s="25"/>
      <x:c r="W258" s="25"/>
      <x:c r="X258" s="25"/>
      <x:c r="Y258" s="25"/>
      <x:c r="Z258" s="25"/>
    </x:row>
    <x:row r="259">
      <x:c r="A259" s="25"/>
      <x:c r="B259" s="25"/>
      <x:c r="C259" s="25"/>
      <x:c r="D259" s="25"/>
      <x:c r="E259" s="25"/>
      <x:c r="F259" s="25"/>
      <x:c r="G259" s="25"/>
      <x:c r="H259" s="25"/>
      <x:c r="I259" s="25"/>
      <x:c r="J259" s="25"/>
      <x:c r="K259" s="25"/>
      <x:c r="L259" s="25"/>
      <x:c r="M259" s="25"/>
      <x:c r="N259" s="25"/>
      <x:c r="O259" s="25"/>
      <x:c r="P259" s="25"/>
      <x:c r="Q259" s="25"/>
      <x:c r="R259" s="25"/>
      <x:c r="S259" s="25"/>
      <x:c r="T259" s="25"/>
      <x:c r="U259" s="25"/>
      <x:c r="V259" s="25"/>
      <x:c r="W259" s="25"/>
      <x:c r="X259" s="25"/>
      <x:c r="Y259" s="25"/>
      <x:c r="Z259" s="25"/>
    </x:row>
    <x:row r="260">
      <x:c r="A260" s="25"/>
      <x:c r="B260" s="25"/>
      <x:c r="C260" s="25"/>
      <x:c r="D260" s="25"/>
      <x:c r="E260" s="25"/>
      <x:c r="F260" s="25"/>
      <x:c r="G260" s="25"/>
      <x:c r="H260" s="25"/>
      <x:c r="I260" s="25"/>
      <x:c r="J260" s="25"/>
      <x:c r="K260" s="25"/>
      <x:c r="L260" s="25"/>
      <x:c r="M260" s="25"/>
      <x:c r="N260" s="25"/>
      <x:c r="O260" s="25"/>
      <x:c r="P260" s="25"/>
      <x:c r="Q260" s="25"/>
      <x:c r="R260" s="25"/>
      <x:c r="S260" s="25"/>
      <x:c r="T260" s="25"/>
      <x:c r="U260" s="25"/>
      <x:c r="V260" s="25"/>
      <x:c r="W260" s="25"/>
      <x:c r="X260" s="25"/>
      <x:c r="Y260" s="25"/>
      <x:c r="Z260" s="25"/>
    </x:row>
    <x:row r="261">
      <x:c r="A261" s="25"/>
      <x:c r="B261" s="25"/>
      <x:c r="C261" s="25"/>
      <x:c r="D261" s="25"/>
      <x:c r="E261" s="25"/>
      <x:c r="F261" s="25"/>
      <x:c r="G261" s="25"/>
      <x:c r="H261" s="25"/>
      <x:c r="I261" s="25"/>
      <x:c r="J261" s="25"/>
      <x:c r="K261" s="25"/>
      <x:c r="L261" s="25"/>
      <x:c r="M261" s="25"/>
      <x:c r="N261" s="25"/>
      <x:c r="O261" s="25"/>
      <x:c r="P261" s="25"/>
      <x:c r="Q261" s="25"/>
      <x:c r="R261" s="25"/>
      <x:c r="S261" s="25"/>
      <x:c r="T261" s="25"/>
      <x:c r="U261" s="25"/>
      <x:c r="V261" s="25"/>
      <x:c r="W261" s="25"/>
      <x:c r="X261" s="25"/>
      <x:c r="Y261" s="25"/>
      <x:c r="Z261" s="25"/>
    </x:row>
    <x:row r="262">
      <x:c r="A262" s="25"/>
      <x:c r="B262" s="25"/>
      <x:c r="C262" s="25"/>
      <x:c r="D262" s="25"/>
      <x:c r="E262" s="25"/>
      <x:c r="F262" s="25"/>
      <x:c r="G262" s="25"/>
      <x:c r="H262" s="25"/>
      <x:c r="I262" s="25"/>
      <x:c r="J262" s="25"/>
      <x:c r="K262" s="25"/>
      <x:c r="L262" s="25"/>
      <x:c r="M262" s="25"/>
      <x:c r="N262" s="25"/>
      <x:c r="O262" s="25"/>
      <x:c r="P262" s="25"/>
      <x:c r="Q262" s="25"/>
      <x:c r="R262" s="25"/>
      <x:c r="S262" s="25"/>
      <x:c r="T262" s="25"/>
      <x:c r="U262" s="25"/>
      <x:c r="V262" s="25"/>
      <x:c r="W262" s="25"/>
      <x:c r="X262" s="25"/>
      <x:c r="Y262" s="25"/>
      <x:c r="Z262" s="25"/>
    </x:row>
    <x:row r="263">
      <x:c r="A263" s="25"/>
      <x:c r="B263" s="25"/>
      <x:c r="C263" s="25"/>
      <x:c r="D263" s="25"/>
      <x:c r="E263" s="25"/>
      <x:c r="F263" s="25"/>
      <x:c r="G263" s="25"/>
      <x:c r="H263" s="25"/>
      <x:c r="I263" s="25"/>
      <x:c r="J263" s="25"/>
      <x:c r="K263" s="25"/>
      <x:c r="L263" s="25"/>
      <x:c r="M263" s="25"/>
      <x:c r="N263" s="25"/>
      <x:c r="O263" s="25"/>
      <x:c r="P263" s="25"/>
      <x:c r="Q263" s="25"/>
      <x:c r="R263" s="25"/>
      <x:c r="S263" s="25"/>
      <x:c r="T263" s="25"/>
      <x:c r="U263" s="25"/>
      <x:c r="V263" s="25"/>
      <x:c r="W263" s="25"/>
      <x:c r="X263" s="25"/>
      <x:c r="Y263" s="25"/>
      <x:c r="Z263" s="25"/>
    </x:row>
    <x:row r="264">
      <x:c r="A264" s="25"/>
      <x:c r="B264" s="25"/>
      <x:c r="C264" s="25"/>
      <x:c r="D264" s="25"/>
      <x:c r="E264" s="25"/>
      <x:c r="F264" s="25"/>
      <x:c r="G264" s="25"/>
      <x:c r="H264" s="25"/>
      <x:c r="I264" s="25"/>
      <x:c r="J264" s="25"/>
      <x:c r="K264" s="25"/>
      <x:c r="L264" s="25"/>
      <x:c r="M264" s="25"/>
      <x:c r="N264" s="25"/>
      <x:c r="O264" s="25"/>
      <x:c r="P264" s="25"/>
      <x:c r="Q264" s="25"/>
      <x:c r="R264" s="25"/>
      <x:c r="S264" s="25"/>
      <x:c r="T264" s="25"/>
      <x:c r="U264" s="25"/>
      <x:c r="V264" s="25"/>
      <x:c r="W264" s="25"/>
      <x:c r="X264" s="25"/>
      <x:c r="Y264" s="25"/>
      <x:c r="Z264" s="25"/>
    </x:row>
    <x:row r="265">
      <x:c r="A265" s="25"/>
      <x:c r="B265" s="25"/>
      <x:c r="C265" s="25"/>
      <x:c r="D265" s="25"/>
      <x:c r="E265" s="25"/>
      <x:c r="F265" s="25"/>
      <x:c r="G265" s="25"/>
      <x:c r="H265" s="25"/>
      <x:c r="I265" s="25"/>
      <x:c r="J265" s="25"/>
      <x:c r="K265" s="25"/>
      <x:c r="L265" s="25"/>
      <x:c r="M265" s="25"/>
      <x:c r="N265" s="25"/>
      <x:c r="O265" s="25"/>
      <x:c r="P265" s="25"/>
      <x:c r="Q265" s="25"/>
      <x:c r="R265" s="25"/>
      <x:c r="S265" s="25"/>
      <x:c r="T265" s="25"/>
      <x:c r="U265" s="25"/>
      <x:c r="V265" s="25"/>
      <x:c r="W265" s="25"/>
      <x:c r="X265" s="25"/>
      <x:c r="Y265" s="25"/>
      <x:c r="Z265" s="25"/>
    </x:row>
    <x:row r="266">
      <x:c r="A266" s="25"/>
      <x:c r="B266" s="25"/>
      <x:c r="C266" s="25"/>
      <x:c r="D266" s="25"/>
      <x:c r="E266" s="25"/>
      <x:c r="F266" s="25"/>
      <x:c r="G266" s="25"/>
      <x:c r="H266" s="25"/>
      <x:c r="I266" s="25"/>
      <x:c r="J266" s="25"/>
      <x:c r="K266" s="25"/>
      <x:c r="L266" s="25"/>
      <x:c r="M266" s="25"/>
      <x:c r="N266" s="25"/>
      <x:c r="O266" s="25"/>
      <x:c r="P266" s="25"/>
      <x:c r="Q266" s="25"/>
      <x:c r="R266" s="25"/>
      <x:c r="S266" s="25"/>
      <x:c r="T266" s="25"/>
      <x:c r="U266" s="25"/>
      <x:c r="V266" s="25"/>
      <x:c r="W266" s="25"/>
      <x:c r="X266" s="25"/>
      <x:c r="Y266" s="25"/>
      <x:c r="Z266" s="25"/>
    </x:row>
    <x:row r="267">
      <x:c r="A267" s="25"/>
      <x:c r="B267" s="25"/>
      <x:c r="C267" s="25"/>
      <x:c r="D267" s="25"/>
      <x:c r="E267" s="25"/>
      <x:c r="F267" s="25"/>
      <x:c r="G267" s="25"/>
      <x:c r="H267" s="25"/>
      <x:c r="I267" s="25"/>
      <x:c r="J267" s="25"/>
      <x:c r="K267" s="25"/>
      <x:c r="L267" s="25"/>
      <x:c r="M267" s="25"/>
      <x:c r="N267" s="25"/>
      <x:c r="O267" s="25"/>
      <x:c r="P267" s="25"/>
      <x:c r="Q267" s="25"/>
      <x:c r="R267" s="25"/>
      <x:c r="S267" s="25"/>
      <x:c r="T267" s="25"/>
      <x:c r="U267" s="25"/>
      <x:c r="V267" s="25"/>
      <x:c r="W267" s="25"/>
      <x:c r="X267" s="25"/>
      <x:c r="Y267" s="25"/>
      <x:c r="Z267" s="25"/>
    </x:row>
    <x:row r="268">
      <x:c r="A268" s="25"/>
      <x:c r="B268" s="25"/>
      <x:c r="C268" s="25"/>
      <x:c r="D268" s="25"/>
      <x:c r="E268" s="25"/>
      <x:c r="F268" s="25"/>
      <x:c r="G268" s="25"/>
      <x:c r="H268" s="25"/>
      <x:c r="I268" s="25"/>
      <x:c r="J268" s="25"/>
      <x:c r="K268" s="25"/>
      <x:c r="L268" s="25"/>
      <x:c r="M268" s="25"/>
      <x:c r="N268" s="25"/>
      <x:c r="O268" s="25"/>
      <x:c r="P268" s="25"/>
      <x:c r="Q268" s="25"/>
      <x:c r="R268" s="25"/>
      <x:c r="S268" s="25"/>
      <x:c r="T268" s="25"/>
      <x:c r="U268" s="25"/>
      <x:c r="V268" s="25"/>
      <x:c r="W268" s="25"/>
      <x:c r="X268" s="25"/>
      <x:c r="Y268" s="25"/>
      <x:c r="Z268" s="25"/>
    </x:row>
    <x:row r="269">
      <x:c r="A269" s="25"/>
      <x:c r="B269" s="25"/>
      <x:c r="C269" s="25"/>
      <x:c r="D269" s="25"/>
      <x:c r="E269" s="25"/>
      <x:c r="F269" s="25"/>
      <x:c r="G269" s="25"/>
      <x:c r="H269" s="25"/>
      <x:c r="I269" s="25"/>
      <x:c r="J269" s="25"/>
      <x:c r="K269" s="25"/>
      <x:c r="L269" s="25"/>
      <x:c r="M269" s="25"/>
      <x:c r="N269" s="25"/>
      <x:c r="O269" s="25"/>
      <x:c r="P269" s="25"/>
      <x:c r="Q269" s="25"/>
      <x:c r="R269" s="25"/>
      <x:c r="S269" s="25"/>
      <x:c r="T269" s="25"/>
      <x:c r="U269" s="25"/>
      <x:c r="V269" s="25"/>
      <x:c r="W269" s="25"/>
      <x:c r="X269" s="25"/>
      <x:c r="Y269" s="25"/>
      <x:c r="Z269" s="25"/>
    </x:row>
    <x:row r="270">
      <x:c r="A270" s="25"/>
      <x:c r="B270" s="25"/>
      <x:c r="C270" s="25"/>
      <x:c r="D270" s="25"/>
      <x:c r="E270" s="25"/>
      <x:c r="F270" s="25"/>
      <x:c r="G270" s="25"/>
      <x:c r="H270" s="25"/>
      <x:c r="I270" s="25"/>
      <x:c r="J270" s="25"/>
      <x:c r="K270" s="25"/>
      <x:c r="L270" s="25"/>
      <x:c r="M270" s="25"/>
      <x:c r="N270" s="25"/>
      <x:c r="O270" s="25"/>
      <x:c r="P270" s="25"/>
      <x:c r="Q270" s="25"/>
      <x:c r="R270" s="25"/>
      <x:c r="S270" s="25"/>
      <x:c r="T270" s="25"/>
      <x:c r="U270" s="25"/>
      <x:c r="V270" s="25"/>
      <x:c r="W270" s="25"/>
      <x:c r="X270" s="25"/>
      <x:c r="Y270" s="25"/>
      <x:c r="Z270" s="25"/>
    </x:row>
    <x:row r="271">
      <x:c r="A271" s="25"/>
      <x:c r="B271" s="25"/>
      <x:c r="C271" s="25"/>
      <x:c r="D271" s="25"/>
      <x:c r="E271" s="25"/>
      <x:c r="F271" s="25"/>
      <x:c r="G271" s="25"/>
      <x:c r="H271" s="25"/>
      <x:c r="I271" s="25"/>
      <x:c r="J271" s="25"/>
      <x:c r="K271" s="25"/>
      <x:c r="L271" s="25"/>
      <x:c r="M271" s="25"/>
      <x:c r="N271" s="25"/>
      <x:c r="O271" s="25"/>
      <x:c r="P271" s="25"/>
      <x:c r="Q271" s="25"/>
      <x:c r="R271" s="25"/>
      <x:c r="S271" s="25"/>
      <x:c r="T271" s="25"/>
      <x:c r="U271" s="25"/>
      <x:c r="V271" s="25"/>
      <x:c r="W271" s="25"/>
      <x:c r="X271" s="25"/>
      <x:c r="Y271" s="25"/>
      <x:c r="Z271" s="25"/>
    </x:row>
    <x:row r="272">
      <x:c r="A272" s="25"/>
      <x:c r="B272" s="25"/>
      <x:c r="C272" s="25"/>
      <x:c r="D272" s="25"/>
      <x:c r="E272" s="25"/>
      <x:c r="F272" s="25"/>
      <x:c r="G272" s="25"/>
      <x:c r="H272" s="25"/>
      <x:c r="I272" s="25"/>
      <x:c r="J272" s="25"/>
      <x:c r="K272" s="25"/>
      <x:c r="L272" s="25"/>
      <x:c r="M272" s="25"/>
      <x:c r="N272" s="25"/>
      <x:c r="O272" s="25"/>
      <x:c r="P272" s="25"/>
      <x:c r="Q272" s="25"/>
      <x:c r="R272" s="25"/>
      <x:c r="S272" s="25"/>
      <x:c r="T272" s="25"/>
      <x:c r="U272" s="25"/>
      <x:c r="V272" s="25"/>
      <x:c r="W272" s="25"/>
      <x:c r="X272" s="25"/>
      <x:c r="Y272" s="25"/>
      <x:c r="Z272" s="25"/>
    </x:row>
    <x:row r="273">
      <x:c r="A273" s="25"/>
      <x:c r="B273" s="25"/>
      <x:c r="C273" s="25"/>
      <x:c r="D273" s="25"/>
      <x:c r="E273" s="25"/>
      <x:c r="F273" s="25"/>
      <x:c r="G273" s="25"/>
      <x:c r="H273" s="25"/>
      <x:c r="I273" s="25"/>
      <x:c r="J273" s="25"/>
      <x:c r="K273" s="25"/>
      <x:c r="L273" s="25"/>
      <x:c r="M273" s="25"/>
      <x:c r="N273" s="25"/>
      <x:c r="O273" s="25"/>
      <x:c r="P273" s="25"/>
      <x:c r="Q273" s="25"/>
      <x:c r="R273" s="25"/>
      <x:c r="S273" s="25"/>
      <x:c r="T273" s="25"/>
      <x:c r="U273" s="25"/>
      <x:c r="V273" s="25"/>
      <x:c r="W273" s="25"/>
      <x:c r="X273" s="25"/>
      <x:c r="Y273" s="25"/>
      <x:c r="Z273" s="25"/>
    </x:row>
    <x:row r="274">
      <x:c r="A274" s="25"/>
      <x:c r="B274" s="25"/>
      <x:c r="C274" s="25"/>
      <x:c r="D274" s="25"/>
      <x:c r="E274" s="25"/>
      <x:c r="F274" s="25"/>
      <x:c r="G274" s="25"/>
      <x:c r="H274" s="25"/>
      <x:c r="I274" s="25"/>
      <x:c r="J274" s="25"/>
      <x:c r="K274" s="25"/>
      <x:c r="L274" s="25"/>
      <x:c r="M274" s="25"/>
      <x:c r="N274" s="25"/>
      <x:c r="O274" s="25"/>
      <x:c r="P274" s="25"/>
      <x:c r="Q274" s="25"/>
      <x:c r="R274" s="25"/>
      <x:c r="S274" s="25"/>
      <x:c r="T274" s="25"/>
      <x:c r="U274" s="25"/>
      <x:c r="V274" s="25"/>
      <x:c r="W274" s="25"/>
      <x:c r="X274" s="25"/>
      <x:c r="Y274" s="25"/>
      <x:c r="Z274" s="25"/>
    </x:row>
    <x:row r="275">
      <x:c r="A275" s="25"/>
      <x:c r="B275" s="25"/>
      <x:c r="C275" s="25"/>
      <x:c r="D275" s="25"/>
      <x:c r="E275" s="25"/>
      <x:c r="F275" s="25"/>
      <x:c r="G275" s="25"/>
      <x:c r="H275" s="25"/>
      <x:c r="I275" s="25"/>
      <x:c r="J275" s="25"/>
      <x:c r="K275" s="25"/>
      <x:c r="L275" s="25"/>
      <x:c r="M275" s="25"/>
      <x:c r="N275" s="25"/>
      <x:c r="O275" s="25"/>
      <x:c r="P275" s="25"/>
      <x:c r="Q275" s="25"/>
      <x:c r="R275" s="25"/>
      <x:c r="S275" s="25"/>
      <x:c r="T275" s="25"/>
      <x:c r="U275" s="25"/>
      <x:c r="V275" s="25"/>
      <x:c r="W275" s="25"/>
      <x:c r="X275" s="25"/>
      <x:c r="Y275" s="25"/>
      <x:c r="Z275" s="25"/>
    </x:row>
    <x:row r="276">
      <x:c r="A276" s="25"/>
      <x:c r="B276" s="25"/>
      <x:c r="C276" s="25"/>
      <x:c r="D276" s="25"/>
      <x:c r="E276" s="25"/>
      <x:c r="F276" s="25"/>
      <x:c r="G276" s="25"/>
      <x:c r="H276" s="25"/>
      <x:c r="I276" s="25"/>
      <x:c r="J276" s="25"/>
      <x:c r="K276" s="25"/>
      <x:c r="L276" s="25"/>
      <x:c r="M276" s="25"/>
      <x:c r="N276" s="25"/>
      <x:c r="O276" s="25"/>
      <x:c r="P276" s="25"/>
      <x:c r="Q276" s="25"/>
      <x:c r="R276" s="25"/>
      <x:c r="S276" s="25"/>
      <x:c r="T276" s="25"/>
      <x:c r="U276" s="25"/>
      <x:c r="V276" s="25"/>
      <x:c r="W276" s="25"/>
      <x:c r="X276" s="25"/>
      <x:c r="Y276" s="25"/>
      <x:c r="Z276" s="25"/>
    </x:row>
    <x:row r="277">
      <x:c r="A277" s="25"/>
      <x:c r="B277" s="25"/>
      <x:c r="C277" s="25"/>
      <x:c r="D277" s="25"/>
      <x:c r="E277" s="25"/>
      <x:c r="F277" s="25"/>
      <x:c r="G277" s="25"/>
      <x:c r="H277" s="25"/>
      <x:c r="I277" s="25"/>
      <x:c r="J277" s="25"/>
      <x:c r="K277" s="25"/>
      <x:c r="L277" s="25"/>
      <x:c r="M277" s="25"/>
      <x:c r="N277" s="25"/>
      <x:c r="O277" s="25"/>
      <x:c r="P277" s="25"/>
      <x:c r="Q277" s="25"/>
      <x:c r="R277" s="25"/>
      <x:c r="S277" s="25"/>
      <x:c r="T277" s="25"/>
      <x:c r="U277" s="25"/>
      <x:c r="V277" s="25"/>
      <x:c r="W277" s="25"/>
      <x:c r="X277" s="25"/>
      <x:c r="Y277" s="25"/>
      <x:c r="Z277" s="25"/>
    </x:row>
    <x:row r="278">
      <x:c r="A278" s="25"/>
      <x:c r="B278" s="25"/>
      <x:c r="C278" s="25"/>
      <x:c r="D278" s="25"/>
      <x:c r="E278" s="25"/>
      <x:c r="F278" s="25"/>
      <x:c r="G278" s="25"/>
      <x:c r="H278" s="25"/>
      <x:c r="I278" s="25"/>
      <x:c r="J278" s="25"/>
      <x:c r="K278" s="25"/>
      <x:c r="L278" s="25"/>
      <x:c r="M278" s="25"/>
      <x:c r="N278" s="25"/>
      <x:c r="O278" s="25"/>
      <x:c r="P278" s="25"/>
      <x:c r="Q278" s="25"/>
      <x:c r="R278" s="25"/>
      <x:c r="S278" s="25"/>
      <x:c r="T278" s="25"/>
      <x:c r="U278" s="25"/>
      <x:c r="V278" s="25"/>
      <x:c r="W278" s="25"/>
      <x:c r="X278" s="25"/>
      <x:c r="Y278" s="25"/>
      <x:c r="Z278" s="25"/>
    </x:row>
    <x:row r="279">
      <x:c r="A279" s="25"/>
      <x:c r="B279" s="25"/>
      <x:c r="C279" s="25"/>
      <x:c r="D279" s="25"/>
      <x:c r="E279" s="25"/>
      <x:c r="F279" s="25"/>
      <x:c r="G279" s="25"/>
      <x:c r="H279" s="25"/>
      <x:c r="I279" s="25"/>
      <x:c r="J279" s="25"/>
      <x:c r="K279" s="25"/>
      <x:c r="L279" s="25"/>
      <x:c r="M279" s="25"/>
      <x:c r="N279" s="25"/>
      <x:c r="O279" s="25"/>
      <x:c r="P279" s="25"/>
      <x:c r="Q279" s="25"/>
      <x:c r="R279" s="25"/>
      <x:c r="S279" s="25"/>
      <x:c r="T279" s="25"/>
      <x:c r="U279" s="25"/>
      <x:c r="V279" s="25"/>
      <x:c r="W279" s="25"/>
      <x:c r="X279" s="25"/>
      <x:c r="Y279" s="25"/>
      <x:c r="Z279" s="25"/>
    </x:row>
    <x:row r="280">
      <x:c r="A280" s="25"/>
      <x:c r="B280" s="25"/>
      <x:c r="C280" s="25"/>
      <x:c r="D280" s="25"/>
      <x:c r="E280" s="25"/>
      <x:c r="F280" s="25"/>
      <x:c r="G280" s="25"/>
      <x:c r="H280" s="25"/>
      <x:c r="I280" s="25"/>
      <x:c r="J280" s="25"/>
      <x:c r="K280" s="25"/>
      <x:c r="L280" s="25"/>
      <x:c r="M280" s="25"/>
      <x:c r="N280" s="25"/>
      <x:c r="O280" s="25"/>
      <x:c r="P280" s="25"/>
      <x:c r="Q280" s="25"/>
      <x:c r="R280" s="25"/>
      <x:c r="S280" s="25"/>
      <x:c r="T280" s="25"/>
      <x:c r="U280" s="25"/>
      <x:c r="V280" s="25"/>
      <x:c r="W280" s="25"/>
      <x:c r="X280" s="25"/>
      <x:c r="Y280" s="25"/>
      <x:c r="Z280" s="25"/>
    </x:row>
    <x:row r="281">
      <x:c r="A281" s="25"/>
      <x:c r="B281" s="25"/>
      <x:c r="C281" s="25"/>
      <x:c r="D281" s="25"/>
      <x:c r="E281" s="25"/>
      <x:c r="F281" s="25"/>
      <x:c r="G281" s="25"/>
      <x:c r="H281" s="25"/>
      <x:c r="I281" s="25"/>
      <x:c r="J281" s="25"/>
      <x:c r="K281" s="25"/>
      <x:c r="L281" s="25"/>
      <x:c r="M281" s="25"/>
      <x:c r="N281" s="25"/>
      <x:c r="O281" s="25"/>
      <x:c r="P281" s="25"/>
      <x:c r="Q281" s="25"/>
      <x:c r="R281" s="25"/>
      <x:c r="S281" s="25"/>
      <x:c r="T281" s="25"/>
      <x:c r="U281" s="25"/>
      <x:c r="V281" s="25"/>
      <x:c r="W281" s="25"/>
      <x:c r="X281" s="25"/>
      <x:c r="Y281" s="25"/>
      <x:c r="Z281" s="25"/>
    </x:row>
    <x:row r="282">
      <x:c r="A282" s="25"/>
      <x:c r="B282" s="25"/>
      <x:c r="C282" s="25"/>
      <x:c r="D282" s="25"/>
      <x:c r="E282" s="25"/>
      <x:c r="F282" s="25"/>
      <x:c r="G282" s="25"/>
      <x:c r="H282" s="25"/>
      <x:c r="I282" s="25"/>
      <x:c r="J282" s="25"/>
      <x:c r="K282" s="25"/>
      <x:c r="L282" s="25"/>
      <x:c r="M282" s="25"/>
      <x:c r="N282" s="25"/>
      <x:c r="O282" s="25"/>
      <x:c r="P282" s="25"/>
      <x:c r="Q282" s="25"/>
      <x:c r="R282" s="25"/>
      <x:c r="S282" s="25"/>
      <x:c r="T282" s="25"/>
      <x:c r="U282" s="25"/>
      <x:c r="V282" s="25"/>
      <x:c r="W282" s="25"/>
      <x:c r="X282" s="25"/>
      <x:c r="Y282" s="25"/>
      <x:c r="Z282" s="25"/>
    </x:row>
    <x:row r="283">
      <x:c r="A283" s="25"/>
      <x:c r="B283" s="25"/>
      <x:c r="C283" s="25"/>
      <x:c r="D283" s="25"/>
      <x:c r="E283" s="25"/>
      <x:c r="F283" s="25"/>
      <x:c r="G283" s="25"/>
      <x:c r="H283" s="25"/>
      <x:c r="I283" s="25"/>
      <x:c r="J283" s="25"/>
      <x:c r="K283" s="25"/>
      <x:c r="L283" s="25"/>
      <x:c r="M283" s="25"/>
      <x:c r="N283" s="25"/>
      <x:c r="O283" s="25"/>
      <x:c r="P283" s="25"/>
      <x:c r="Q283" s="25"/>
      <x:c r="R283" s="25"/>
      <x:c r="S283" s="25"/>
      <x:c r="T283" s="25"/>
      <x:c r="U283" s="25"/>
      <x:c r="V283" s="25"/>
      <x:c r="W283" s="25"/>
      <x:c r="X283" s="25"/>
      <x:c r="Y283" s="25"/>
      <x:c r="Z283" s="25"/>
    </x:row>
    <x:row r="284">
      <x:c r="A284" s="25"/>
      <x:c r="B284" s="25"/>
      <x:c r="C284" s="25"/>
      <x:c r="D284" s="25"/>
      <x:c r="E284" s="25"/>
      <x:c r="F284" s="25"/>
      <x:c r="G284" s="25"/>
      <x:c r="H284" s="25"/>
      <x:c r="I284" s="25"/>
      <x:c r="J284" s="25"/>
      <x:c r="K284" s="25"/>
      <x:c r="L284" s="25"/>
      <x:c r="M284" s="25"/>
      <x:c r="N284" s="25"/>
      <x:c r="O284" s="25"/>
      <x:c r="P284" s="25"/>
      <x:c r="Q284" s="25"/>
      <x:c r="R284" s="25"/>
      <x:c r="S284" s="25"/>
      <x:c r="T284" s="25"/>
      <x:c r="U284" s="25"/>
      <x:c r="V284" s="25"/>
      <x:c r="W284" s="25"/>
      <x:c r="X284" s="25"/>
      <x:c r="Y284" s="25"/>
      <x:c r="Z284" s="25"/>
    </x:row>
    <x:row r="285">
      <x:c r="A285" s="25"/>
      <x:c r="B285" s="25"/>
      <x:c r="C285" s="25"/>
      <x:c r="D285" s="25"/>
      <x:c r="E285" s="25"/>
      <x:c r="F285" s="25"/>
      <x:c r="G285" s="25"/>
      <x:c r="H285" s="25"/>
      <x:c r="I285" s="25"/>
      <x:c r="J285" s="25"/>
      <x:c r="K285" s="25"/>
      <x:c r="L285" s="25"/>
      <x:c r="M285" s="25"/>
      <x:c r="N285" s="25"/>
      <x:c r="O285" s="25"/>
      <x:c r="P285" s="25"/>
      <x:c r="Q285" s="25"/>
      <x:c r="R285" s="25"/>
      <x:c r="S285" s="25"/>
      <x:c r="T285" s="25"/>
      <x:c r="U285" s="25"/>
      <x:c r="V285" s="25"/>
      <x:c r="W285" s="25"/>
      <x:c r="X285" s="25"/>
      <x:c r="Y285" s="25"/>
      <x:c r="Z285" s="25"/>
    </x:row>
    <x:row r="286">
      <x:c r="A286" s="25"/>
      <x:c r="B286" s="25"/>
      <x:c r="C286" s="25"/>
      <x:c r="D286" s="25"/>
      <x:c r="E286" s="25"/>
      <x:c r="F286" s="25"/>
      <x:c r="G286" s="25"/>
      <x:c r="H286" s="25"/>
      <x:c r="I286" s="25"/>
      <x:c r="J286" s="25"/>
      <x:c r="K286" s="25"/>
      <x:c r="L286" s="25"/>
      <x:c r="M286" s="25"/>
      <x:c r="N286" s="25"/>
      <x:c r="O286" s="25"/>
      <x:c r="P286" s="25"/>
      <x:c r="Q286" s="25"/>
      <x:c r="R286" s="25"/>
      <x:c r="S286" s="25"/>
      <x:c r="T286" s="25"/>
      <x:c r="U286" s="25"/>
      <x:c r="V286" s="25"/>
      <x:c r="W286" s="25"/>
      <x:c r="X286" s="25"/>
      <x:c r="Y286" s="25"/>
      <x:c r="Z286" s="25"/>
    </x:row>
    <x:row r="287">
      <x:c r="A287" s="25"/>
      <x:c r="B287" s="25"/>
      <x:c r="C287" s="25"/>
      <x:c r="D287" s="25"/>
      <x:c r="E287" s="25"/>
      <x:c r="F287" s="25"/>
      <x:c r="G287" s="25"/>
      <x:c r="H287" s="25"/>
      <x:c r="I287" s="25"/>
      <x:c r="J287" s="25"/>
      <x:c r="K287" s="25"/>
      <x:c r="L287" s="25"/>
      <x:c r="M287" s="25"/>
      <x:c r="N287" s="25"/>
      <x:c r="O287" s="25"/>
      <x:c r="P287" s="25"/>
      <x:c r="Q287" s="25"/>
      <x:c r="R287" s="25"/>
      <x:c r="S287" s="25"/>
      <x:c r="T287" s="25"/>
      <x:c r="U287" s="25"/>
      <x:c r="V287" s="25"/>
      <x:c r="W287" s="25"/>
      <x:c r="X287" s="25"/>
      <x:c r="Y287" s="25"/>
      <x:c r="Z287" s="25"/>
    </x:row>
    <x:row r="288">
      <x:c r="A288" s="25"/>
      <x:c r="B288" s="25"/>
      <x:c r="C288" s="25"/>
      <x:c r="D288" s="25"/>
      <x:c r="E288" s="25"/>
      <x:c r="F288" s="25"/>
      <x:c r="G288" s="25"/>
      <x:c r="H288" s="25"/>
      <x:c r="I288" s="25"/>
      <x:c r="J288" s="25"/>
      <x:c r="K288" s="25"/>
      <x:c r="L288" s="25"/>
      <x:c r="M288" s="25"/>
      <x:c r="N288" s="25"/>
      <x:c r="O288" s="25"/>
      <x:c r="P288" s="25"/>
      <x:c r="Q288" s="25"/>
      <x:c r="R288" s="25"/>
      <x:c r="S288" s="25"/>
      <x:c r="T288" s="25"/>
      <x:c r="U288" s="25"/>
      <x:c r="V288" s="25"/>
      <x:c r="W288" s="25"/>
      <x:c r="X288" s="25"/>
      <x:c r="Y288" s="25"/>
      <x:c r="Z288" s="25"/>
    </x:row>
    <x:row r="289">
      <x:c r="A289" s="25"/>
      <x:c r="B289" s="25"/>
      <x:c r="C289" s="25"/>
      <x:c r="D289" s="25"/>
      <x:c r="E289" s="25"/>
      <x:c r="F289" s="25"/>
      <x:c r="G289" s="25"/>
      <x:c r="H289" s="25"/>
      <x:c r="I289" s="25"/>
      <x:c r="J289" s="25"/>
      <x:c r="K289" s="25"/>
      <x:c r="L289" s="25"/>
      <x:c r="M289" s="25"/>
      <x:c r="N289" s="25"/>
      <x:c r="O289" s="25"/>
      <x:c r="P289" s="25"/>
      <x:c r="Q289" s="25"/>
      <x:c r="R289" s="25"/>
      <x:c r="S289" s="25"/>
      <x:c r="T289" s="25"/>
      <x:c r="U289" s="25"/>
      <x:c r="V289" s="25"/>
      <x:c r="W289" s="25"/>
      <x:c r="X289" s="25"/>
      <x:c r="Y289" s="25"/>
      <x:c r="Z289" s="25"/>
    </x:row>
    <x:row r="290">
      <x:c r="A290" s="25"/>
      <x:c r="B290" s="25"/>
      <x:c r="C290" s="25"/>
      <x:c r="D290" s="25"/>
      <x:c r="E290" s="25"/>
      <x:c r="F290" s="25"/>
      <x:c r="G290" s="25"/>
      <x:c r="H290" s="25"/>
      <x:c r="I290" s="25"/>
      <x:c r="J290" s="25"/>
      <x:c r="K290" s="25"/>
      <x:c r="L290" s="25"/>
      <x:c r="M290" s="25"/>
      <x:c r="N290" s="25"/>
      <x:c r="O290" s="25"/>
      <x:c r="P290" s="25"/>
      <x:c r="Q290" s="25"/>
      <x:c r="R290" s="25"/>
      <x:c r="S290" s="25"/>
      <x:c r="T290" s="25"/>
      <x:c r="U290" s="25"/>
      <x:c r="V290" s="25"/>
      <x:c r="W290" s="25"/>
      <x:c r="X290" s="25"/>
      <x:c r="Y290" s="25"/>
      <x:c r="Z290" s="25"/>
    </x:row>
    <x:row r="291">
      <x:c r="A291" s="25"/>
      <x:c r="B291" s="25"/>
      <x:c r="C291" s="25"/>
      <x:c r="D291" s="25"/>
      <x:c r="E291" s="25"/>
      <x:c r="F291" s="25"/>
      <x:c r="G291" s="25"/>
      <x:c r="H291" s="25"/>
      <x:c r="I291" s="25"/>
      <x:c r="J291" s="25"/>
      <x:c r="K291" s="25"/>
      <x:c r="L291" s="25"/>
      <x:c r="M291" s="25"/>
      <x:c r="N291" s="25"/>
      <x:c r="O291" s="25"/>
      <x:c r="P291" s="25"/>
      <x:c r="Q291" s="25"/>
      <x:c r="R291" s="25"/>
      <x:c r="S291" s="25"/>
      <x:c r="T291" s="25"/>
      <x:c r="U291" s="25"/>
      <x:c r="V291" s="25"/>
      <x:c r="W291" s="25"/>
      <x:c r="X291" s="25"/>
      <x:c r="Y291" s="25"/>
      <x:c r="Z291" s="25"/>
    </x:row>
    <x:row r="292">
      <x:c r="A292" s="25"/>
      <x:c r="B292" s="25"/>
      <x:c r="C292" s="25"/>
      <x:c r="D292" s="25"/>
      <x:c r="E292" s="25"/>
      <x:c r="F292" s="25"/>
      <x:c r="G292" s="25"/>
      <x:c r="H292" s="25"/>
      <x:c r="I292" s="25"/>
      <x:c r="J292" s="25"/>
      <x:c r="K292" s="25"/>
      <x:c r="L292" s="25"/>
      <x:c r="M292" s="25"/>
      <x:c r="N292" s="25"/>
      <x:c r="O292" s="25"/>
      <x:c r="P292" s="25"/>
      <x:c r="Q292" s="25"/>
      <x:c r="R292" s="25"/>
      <x:c r="S292" s="25"/>
      <x:c r="T292" s="25"/>
      <x:c r="U292" s="25"/>
      <x:c r="V292" s="25"/>
      <x:c r="W292" s="25"/>
      <x:c r="X292" s="25"/>
      <x:c r="Y292" s="25"/>
      <x:c r="Z292" s="25"/>
    </x:row>
    <x:row r="293">
      <x:c r="A293" s="25"/>
      <x:c r="B293" s="25"/>
      <x:c r="C293" s="25"/>
      <x:c r="D293" s="25"/>
      <x:c r="E293" s="25"/>
      <x:c r="F293" s="25"/>
      <x:c r="G293" s="25"/>
      <x:c r="H293" s="25"/>
      <x:c r="I293" s="25"/>
      <x:c r="J293" s="25"/>
      <x:c r="K293" s="25"/>
      <x:c r="L293" s="25"/>
      <x:c r="M293" s="25"/>
      <x:c r="N293" s="25"/>
      <x:c r="O293" s="25"/>
      <x:c r="P293" s="25"/>
      <x:c r="Q293" s="25"/>
      <x:c r="R293" s="25"/>
      <x:c r="S293" s="25"/>
      <x:c r="T293" s="25"/>
      <x:c r="U293" s="25"/>
      <x:c r="V293" s="25"/>
      <x:c r="W293" s="25"/>
      <x:c r="X293" s="25"/>
      <x:c r="Y293" s="25"/>
      <x:c r="Z293" s="25"/>
    </x:row>
    <x:row r="294">
      <x:c r="A294" s="25"/>
      <x:c r="B294" s="25"/>
      <x:c r="C294" s="25"/>
      <x:c r="D294" s="25"/>
      <x:c r="E294" s="25"/>
      <x:c r="F294" s="25"/>
      <x:c r="G294" s="25"/>
      <x:c r="H294" s="25"/>
      <x:c r="I294" s="25"/>
      <x:c r="J294" s="25"/>
      <x:c r="K294" s="25"/>
      <x:c r="L294" s="25"/>
      <x:c r="M294" s="25"/>
      <x:c r="N294" s="25"/>
      <x:c r="O294" s="25"/>
      <x:c r="P294" s="25"/>
      <x:c r="Q294" s="25"/>
      <x:c r="R294" s="25"/>
      <x:c r="S294" s="25"/>
      <x:c r="T294" s="25"/>
      <x:c r="U294" s="25"/>
      <x:c r="V294" s="25"/>
      <x:c r="W294" s="25"/>
      <x:c r="X294" s="25"/>
      <x:c r="Y294" s="25"/>
      <x:c r="Z294" s="25"/>
    </x:row>
    <x:row r="295">
      <x:c r="A295" s="25"/>
      <x:c r="B295" s="25"/>
      <x:c r="C295" s="25"/>
      <x:c r="D295" s="25"/>
      <x:c r="E295" s="25"/>
      <x:c r="F295" s="25"/>
      <x:c r="G295" s="25"/>
      <x:c r="H295" s="25"/>
      <x:c r="I295" s="25"/>
      <x:c r="J295" s="25"/>
      <x:c r="K295" s="25"/>
      <x:c r="L295" s="25"/>
      <x:c r="M295" s="25"/>
      <x:c r="N295" s="25"/>
      <x:c r="O295" s="25"/>
      <x:c r="P295" s="25"/>
      <x:c r="Q295" s="25"/>
      <x:c r="R295" s="25"/>
      <x:c r="S295" s="25"/>
      <x:c r="T295" s="25"/>
      <x:c r="U295" s="25"/>
      <x:c r="V295" s="25"/>
      <x:c r="W295" s="25"/>
      <x:c r="X295" s="25"/>
      <x:c r="Y295" s="25"/>
      <x:c r="Z295" s="25"/>
    </x:row>
    <x:row r="296">
      <x:c r="A296" s="25"/>
      <x:c r="B296" s="25"/>
      <x:c r="C296" s="25"/>
      <x:c r="D296" s="25"/>
      <x:c r="E296" s="25"/>
      <x:c r="F296" s="25"/>
      <x:c r="G296" s="25"/>
      <x:c r="H296" s="25"/>
      <x:c r="I296" s="25"/>
      <x:c r="J296" s="25"/>
      <x:c r="K296" s="25"/>
      <x:c r="L296" s="25"/>
      <x:c r="M296" s="25"/>
      <x:c r="N296" s="25"/>
      <x:c r="O296" s="25"/>
      <x:c r="P296" s="25"/>
      <x:c r="Q296" s="25"/>
      <x:c r="R296" s="25"/>
      <x:c r="S296" s="25"/>
      <x:c r="T296" s="25"/>
      <x:c r="U296" s="25"/>
      <x:c r="V296" s="25"/>
      <x:c r="W296" s="25"/>
      <x:c r="X296" s="25"/>
      <x:c r="Y296" s="25"/>
      <x:c r="Z296" s="25"/>
    </x:row>
    <x:row r="297">
      <x:c r="A297" s="25"/>
      <x:c r="B297" s="25"/>
      <x:c r="C297" s="25"/>
      <x:c r="D297" s="25"/>
      <x:c r="E297" s="25"/>
      <x:c r="F297" s="25"/>
      <x:c r="G297" s="25"/>
      <x:c r="H297" s="25"/>
      <x:c r="I297" s="25"/>
      <x:c r="J297" s="25"/>
      <x:c r="K297" s="25"/>
      <x:c r="L297" s="25"/>
      <x:c r="M297" s="25"/>
      <x:c r="N297" s="25"/>
      <x:c r="O297" s="25"/>
      <x:c r="P297" s="25"/>
      <x:c r="Q297" s="25"/>
      <x:c r="R297" s="25"/>
      <x:c r="S297" s="25"/>
      <x:c r="T297" s="25"/>
      <x:c r="U297" s="25"/>
      <x:c r="V297" s="25"/>
      <x:c r="W297" s="25"/>
      <x:c r="X297" s="25"/>
      <x:c r="Y297" s="25"/>
      <x:c r="Z297" s="25"/>
    </x:row>
    <x:row r="298">
      <x:c r="A298" s="25"/>
      <x:c r="B298" s="25"/>
      <x:c r="C298" s="25"/>
      <x:c r="D298" s="25"/>
      <x:c r="E298" s="25"/>
      <x:c r="F298" s="25"/>
      <x:c r="G298" s="25"/>
      <x:c r="H298" s="25"/>
      <x:c r="I298" s="25"/>
      <x:c r="J298" s="25"/>
      <x:c r="K298" s="25"/>
      <x:c r="L298" s="25"/>
      <x:c r="M298" s="25"/>
      <x:c r="N298" s="25"/>
      <x:c r="O298" s="25"/>
      <x:c r="P298" s="25"/>
      <x:c r="Q298" s="25"/>
      <x:c r="R298" s="25"/>
      <x:c r="S298" s="25"/>
      <x:c r="T298" s="25"/>
      <x:c r="U298" s="25"/>
      <x:c r="V298" s="25"/>
      <x:c r="W298" s="25"/>
      <x:c r="X298" s="25"/>
      <x:c r="Y298" s="25"/>
      <x:c r="Z298" s="25"/>
    </x:row>
    <x:row r="299">
      <x:c r="A299" s="25"/>
      <x:c r="B299" s="25"/>
      <x:c r="C299" s="25"/>
      <x:c r="D299" s="25"/>
      <x:c r="E299" s="25"/>
      <x:c r="F299" s="25"/>
      <x:c r="G299" s="25"/>
      <x:c r="H299" s="25"/>
      <x:c r="I299" s="25"/>
      <x:c r="J299" s="25"/>
      <x:c r="K299" s="25"/>
      <x:c r="L299" s="25"/>
      <x:c r="M299" s="25"/>
      <x:c r="N299" s="25"/>
      <x:c r="O299" s="25"/>
      <x:c r="P299" s="25"/>
      <x:c r="Q299" s="25"/>
      <x:c r="R299" s="25"/>
      <x:c r="S299" s="25"/>
      <x:c r="T299" s="25"/>
      <x:c r="U299" s="25"/>
      <x:c r="V299" s="25"/>
      <x:c r="W299" s="25"/>
      <x:c r="X299" s="25"/>
      <x:c r="Y299" s="25"/>
      <x:c r="Z299" s="25"/>
    </x:row>
    <x:row r="300">
      <x:c r="A300" s="25"/>
      <x:c r="B300" s="25"/>
      <x:c r="C300" s="25"/>
      <x:c r="D300" s="25"/>
      <x:c r="E300" s="25"/>
      <x:c r="F300" s="25"/>
      <x:c r="G300" s="25"/>
      <x:c r="H300" s="25"/>
      <x:c r="I300" s="25"/>
      <x:c r="J300" s="25"/>
      <x:c r="K300" s="25"/>
      <x:c r="L300" s="25"/>
      <x:c r="M300" s="25"/>
      <x:c r="N300" s="25"/>
      <x:c r="O300" s="25"/>
      <x:c r="P300" s="25"/>
      <x:c r="Q300" s="25"/>
      <x:c r="R300" s="25"/>
      <x:c r="S300" s="25"/>
      <x:c r="T300" s="25"/>
      <x:c r="U300" s="25"/>
      <x:c r="V300" s="25"/>
      <x:c r="W300" s="25"/>
      <x:c r="X300" s="25"/>
      <x:c r="Y300" s="25"/>
      <x:c r="Z300" s="25"/>
    </x:row>
    <x:row r="301">
      <x:c r="A301" s="25"/>
      <x:c r="B301" s="25"/>
      <x:c r="C301" s="25"/>
      <x:c r="D301" s="25"/>
      <x:c r="E301" s="25"/>
      <x:c r="F301" s="25"/>
      <x:c r="G301" s="25"/>
      <x:c r="H301" s="25"/>
      <x:c r="I301" s="25"/>
      <x:c r="J301" s="25"/>
      <x:c r="K301" s="25"/>
      <x:c r="L301" s="25"/>
      <x:c r="M301" s="25"/>
      <x:c r="N301" s="25"/>
      <x:c r="O301" s="25"/>
      <x:c r="P301" s="25"/>
      <x:c r="Q301" s="25"/>
      <x:c r="R301" s="25"/>
      <x:c r="S301" s="25"/>
      <x:c r="T301" s="25"/>
      <x:c r="U301" s="25"/>
      <x:c r="V301" s="25"/>
      <x:c r="W301" s="25"/>
      <x:c r="X301" s="25"/>
      <x:c r="Y301" s="25"/>
      <x:c r="Z301" s="25"/>
    </x:row>
    <x:row r="302">
      <x:c r="A302" s="25"/>
      <x:c r="B302" s="25"/>
      <x:c r="C302" s="25"/>
      <x:c r="D302" s="25"/>
      <x:c r="E302" s="25"/>
      <x:c r="F302" s="25"/>
      <x:c r="G302" s="25"/>
      <x:c r="H302" s="25"/>
      <x:c r="I302" s="25"/>
      <x:c r="J302" s="25"/>
      <x:c r="K302" s="25"/>
      <x:c r="L302" s="25"/>
      <x:c r="M302" s="25"/>
      <x:c r="N302" s="25"/>
      <x:c r="O302" s="25"/>
      <x:c r="P302" s="25"/>
      <x:c r="Q302" s="25"/>
      <x:c r="R302" s="25"/>
      <x:c r="S302" s="25"/>
      <x:c r="T302" s="25"/>
      <x:c r="U302" s="25"/>
      <x:c r="V302" s="25"/>
      <x:c r="W302" s="25"/>
      <x:c r="X302" s="25"/>
      <x:c r="Y302" s="25"/>
      <x:c r="Z302" s="25"/>
    </x:row>
    <x:row r="303">
      <x:c r="A303" s="25"/>
      <x:c r="B303" s="25"/>
      <x:c r="C303" s="25"/>
      <x:c r="D303" s="25"/>
      <x:c r="E303" s="25"/>
      <x:c r="F303" s="25"/>
      <x:c r="G303" s="25"/>
      <x:c r="H303" s="25"/>
      <x:c r="I303" s="25"/>
      <x:c r="J303" s="25"/>
      <x:c r="K303" s="25"/>
      <x:c r="L303" s="25"/>
      <x:c r="M303" s="25"/>
      <x:c r="N303" s="25"/>
      <x:c r="O303" s="25"/>
      <x:c r="P303" s="25"/>
      <x:c r="Q303" s="25"/>
      <x:c r="R303" s="25"/>
      <x:c r="S303" s="25"/>
      <x:c r="T303" s="25"/>
      <x:c r="U303" s="25"/>
      <x:c r="V303" s="25"/>
      <x:c r="W303" s="25"/>
      <x:c r="X303" s="25"/>
      <x:c r="Y303" s="25"/>
      <x:c r="Z303" s="25"/>
    </x:row>
    <x:row r="304">
      <x:c r="A304" s="25"/>
      <x:c r="B304" s="25"/>
      <x:c r="C304" s="25"/>
      <x:c r="D304" s="25"/>
      <x:c r="E304" s="25"/>
      <x:c r="F304" s="25"/>
      <x:c r="G304" s="25"/>
      <x:c r="H304" s="25"/>
      <x:c r="I304" s="25"/>
      <x:c r="J304" s="25"/>
      <x:c r="K304" s="25"/>
      <x:c r="L304" s="25"/>
      <x:c r="M304" s="25"/>
      <x:c r="N304" s="25"/>
      <x:c r="O304" s="25"/>
      <x:c r="P304" s="25"/>
      <x:c r="Q304" s="25"/>
      <x:c r="R304" s="25"/>
      <x:c r="S304" s="25"/>
      <x:c r="T304" s="25"/>
      <x:c r="U304" s="25"/>
      <x:c r="V304" s="25"/>
      <x:c r="W304" s="25"/>
      <x:c r="X304" s="25"/>
      <x:c r="Y304" s="25"/>
      <x:c r="Z304" s="25"/>
    </x:row>
    <x:row r="305">
      <x:c r="A305" s="25"/>
      <x:c r="B305" s="25"/>
      <x:c r="C305" s="25"/>
      <x:c r="D305" s="25"/>
      <x:c r="E305" s="25"/>
      <x:c r="F305" s="25"/>
      <x:c r="G305" s="25"/>
      <x:c r="H305" s="25"/>
      <x:c r="I305" s="25"/>
      <x:c r="J305" s="25"/>
      <x:c r="K305" s="25"/>
      <x:c r="L305" s="25"/>
      <x:c r="M305" s="25"/>
      <x:c r="N305" s="25"/>
      <x:c r="O305" s="25"/>
      <x:c r="P305" s="25"/>
      <x:c r="Q305" s="25"/>
      <x:c r="R305" s="25"/>
      <x:c r="S305" s="25"/>
      <x:c r="T305" s="25"/>
      <x:c r="U305" s="25"/>
      <x:c r="V305" s="25"/>
      <x:c r="W305" s="25"/>
      <x:c r="X305" s="25"/>
      <x:c r="Y305" s="25"/>
      <x:c r="Z305" s="25"/>
    </x:row>
    <x:row r="306">
      <x:c r="A306" s="25"/>
      <x:c r="B306" s="25"/>
      <x:c r="C306" s="25"/>
      <x:c r="D306" s="25"/>
      <x:c r="E306" s="25"/>
      <x:c r="F306" s="25"/>
      <x:c r="G306" s="25"/>
      <x:c r="H306" s="25"/>
      <x:c r="I306" s="25"/>
      <x:c r="J306" s="25"/>
      <x:c r="K306" s="25"/>
      <x:c r="L306" s="25"/>
      <x:c r="M306" s="25"/>
      <x:c r="N306" s="25"/>
      <x:c r="O306" s="25"/>
      <x:c r="P306" s="25"/>
      <x:c r="Q306" s="25"/>
      <x:c r="R306" s="25"/>
      <x:c r="S306" s="25"/>
      <x:c r="T306" s="25"/>
      <x:c r="U306" s="25"/>
      <x:c r="V306" s="25"/>
      <x:c r="W306" s="25"/>
      <x:c r="X306" s="25"/>
      <x:c r="Y306" s="25"/>
      <x:c r="Z306" s="25"/>
    </x:row>
    <x:row r="307">
      <x:c r="A307" s="25"/>
      <x:c r="B307" s="25"/>
      <x:c r="C307" s="25"/>
      <x:c r="D307" s="25"/>
      <x:c r="E307" s="25"/>
      <x:c r="F307" s="25"/>
      <x:c r="G307" s="25"/>
      <x:c r="H307" s="25"/>
      <x:c r="I307" s="25"/>
      <x:c r="J307" s="25"/>
      <x:c r="K307" s="25"/>
      <x:c r="L307" s="25"/>
      <x:c r="M307" s="25"/>
      <x:c r="N307" s="25"/>
      <x:c r="O307" s="25"/>
      <x:c r="P307" s="25"/>
      <x:c r="Q307" s="25"/>
      <x:c r="R307" s="25"/>
      <x:c r="S307" s="25"/>
      <x:c r="T307" s="25"/>
      <x:c r="U307" s="25"/>
      <x:c r="V307" s="25"/>
      <x:c r="W307" s="25"/>
      <x:c r="X307" s="25"/>
      <x:c r="Y307" s="25"/>
      <x:c r="Z307" s="25"/>
    </x:row>
    <x:row r="308">
      <x:c r="A308" s="25"/>
      <x:c r="B308" s="25"/>
      <x:c r="C308" s="25"/>
      <x:c r="D308" s="25"/>
      <x:c r="E308" s="25"/>
      <x:c r="F308" s="25"/>
      <x:c r="G308" s="25"/>
      <x:c r="H308" s="25"/>
      <x:c r="I308" s="25"/>
      <x:c r="J308" s="25"/>
      <x:c r="K308" s="25"/>
      <x:c r="L308" s="25"/>
      <x:c r="M308" s="25"/>
      <x:c r="N308" s="25"/>
      <x:c r="O308" s="25"/>
      <x:c r="P308" s="25"/>
      <x:c r="Q308" s="25"/>
      <x:c r="R308" s="25"/>
      <x:c r="S308" s="25"/>
      <x:c r="T308" s="25"/>
      <x:c r="U308" s="25"/>
      <x:c r="V308" s="25"/>
      <x:c r="W308" s="25"/>
      <x:c r="X308" s="25"/>
      <x:c r="Y308" s="25"/>
      <x:c r="Z308" s="25"/>
    </x:row>
    <x:row r="309">
      <x:c r="A309" s="25"/>
      <x:c r="B309" s="25"/>
      <x:c r="C309" s="25"/>
      <x:c r="D309" s="25"/>
      <x:c r="E309" s="25"/>
      <x:c r="F309" s="25"/>
      <x:c r="G309" s="25"/>
      <x:c r="H309" s="25"/>
      <x:c r="I309" s="25"/>
      <x:c r="J309" s="25"/>
      <x:c r="K309" s="25"/>
      <x:c r="L309" s="25"/>
      <x:c r="M309" s="25"/>
      <x:c r="N309" s="25"/>
      <x:c r="O309" s="25"/>
      <x:c r="P309" s="25"/>
      <x:c r="Q309" s="25"/>
      <x:c r="R309" s="25"/>
      <x:c r="S309" s="25"/>
      <x:c r="T309" s="25"/>
      <x:c r="U309" s="25"/>
      <x:c r="V309" s="25"/>
      <x:c r="W309" s="25"/>
      <x:c r="X309" s="25"/>
      <x:c r="Y309" s="25"/>
      <x:c r="Z309" s="25"/>
    </x:row>
    <x:row r="310">
      <x:c r="A310" s="25"/>
      <x:c r="B310" s="25"/>
      <x:c r="C310" s="25"/>
      <x:c r="D310" s="25"/>
      <x:c r="E310" s="25"/>
      <x:c r="F310" s="25"/>
      <x:c r="G310" s="25"/>
      <x:c r="H310" s="25"/>
      <x:c r="I310" s="25"/>
      <x:c r="J310" s="25"/>
      <x:c r="K310" s="25"/>
      <x:c r="L310" s="25"/>
      <x:c r="M310" s="25"/>
      <x:c r="N310" s="25"/>
      <x:c r="O310" s="25"/>
      <x:c r="P310" s="25"/>
      <x:c r="Q310" s="25"/>
      <x:c r="R310" s="25"/>
      <x:c r="S310" s="25"/>
      <x:c r="T310" s="25"/>
      <x:c r="U310" s="25"/>
      <x:c r="V310" s="25"/>
      <x:c r="W310" s="25"/>
      <x:c r="X310" s="25"/>
      <x:c r="Y310" s="25"/>
      <x:c r="Z310" s="25"/>
    </x:row>
    <x:row r="311">
      <x:c r="A311" s="25"/>
      <x:c r="B311" s="25"/>
      <x:c r="C311" s="25"/>
      <x:c r="D311" s="25"/>
      <x:c r="E311" s="25"/>
      <x:c r="F311" s="25"/>
      <x:c r="G311" s="25"/>
      <x:c r="H311" s="25"/>
      <x:c r="I311" s="25"/>
      <x:c r="J311" s="25"/>
      <x:c r="K311" s="25"/>
      <x:c r="L311" s="25"/>
      <x:c r="M311" s="25"/>
      <x:c r="N311" s="25"/>
      <x:c r="O311" s="25"/>
      <x:c r="P311" s="25"/>
      <x:c r="Q311" s="25"/>
      <x:c r="R311" s="25"/>
      <x:c r="S311" s="25"/>
      <x:c r="T311" s="25"/>
      <x:c r="U311" s="25"/>
      <x:c r="V311" s="25"/>
      <x:c r="W311" s="25"/>
      <x:c r="X311" s="25"/>
      <x:c r="Y311" s="25"/>
      <x:c r="Z311" s="25"/>
    </x:row>
    <x:row r="312">
      <x:c r="A312" s="25"/>
      <x:c r="B312" s="25"/>
      <x:c r="C312" s="25"/>
      <x:c r="D312" s="25"/>
      <x:c r="E312" s="25"/>
      <x:c r="F312" s="25"/>
      <x:c r="G312" s="25"/>
      <x:c r="H312" s="25"/>
      <x:c r="I312" s="25"/>
      <x:c r="J312" s="25"/>
      <x:c r="K312" s="25"/>
      <x:c r="L312" s="25"/>
      <x:c r="M312" s="25"/>
      <x:c r="N312" s="25"/>
      <x:c r="O312" s="25"/>
      <x:c r="P312" s="25"/>
      <x:c r="Q312" s="25"/>
      <x:c r="R312" s="25"/>
      <x:c r="S312" s="25"/>
      <x:c r="T312" s="25"/>
      <x:c r="U312" s="25"/>
      <x:c r="V312" s="25"/>
      <x:c r="W312" s="25"/>
      <x:c r="X312" s="25"/>
      <x:c r="Y312" s="25"/>
      <x:c r="Z312" s="25"/>
    </x:row>
    <x:row r="313">
      <x:c r="A313" s="25"/>
      <x:c r="B313" s="25"/>
      <x:c r="C313" s="25"/>
      <x:c r="D313" s="25"/>
      <x:c r="E313" s="25"/>
      <x:c r="F313" s="25"/>
      <x:c r="G313" s="25"/>
      <x:c r="H313" s="25"/>
      <x:c r="I313" s="25"/>
      <x:c r="J313" s="25"/>
      <x:c r="K313" s="25"/>
      <x:c r="L313" s="25"/>
      <x:c r="M313" s="25"/>
      <x:c r="N313" s="25"/>
      <x:c r="O313" s="25"/>
      <x:c r="P313" s="25"/>
      <x:c r="Q313" s="25"/>
      <x:c r="R313" s="25"/>
      <x:c r="S313" s="25"/>
      <x:c r="T313" s="25"/>
      <x:c r="U313" s="25"/>
      <x:c r="V313" s="25"/>
      <x:c r="W313" s="25"/>
      <x:c r="X313" s="25"/>
      <x:c r="Y313" s="25"/>
      <x:c r="Z313" s="25"/>
    </x:row>
    <x:row r="314">
      <x:c r="A314" s="25"/>
      <x:c r="B314" s="25"/>
      <x:c r="C314" s="25"/>
      <x:c r="D314" s="25"/>
      <x:c r="E314" s="25"/>
      <x:c r="F314" s="25"/>
      <x:c r="G314" s="25"/>
      <x:c r="H314" s="25"/>
      <x:c r="I314" s="25"/>
      <x:c r="J314" s="25"/>
      <x:c r="K314" s="25"/>
      <x:c r="L314" s="25"/>
      <x:c r="M314" s="25"/>
      <x:c r="N314" s="25"/>
      <x:c r="O314" s="25"/>
      <x:c r="P314" s="25"/>
      <x:c r="Q314" s="25"/>
      <x:c r="R314" s="25"/>
      <x:c r="S314" s="25"/>
      <x:c r="T314" s="25"/>
      <x:c r="U314" s="25"/>
      <x:c r="V314" s="25"/>
      <x:c r="W314" s="25"/>
      <x:c r="X314" s="25"/>
      <x:c r="Y314" s="25"/>
      <x:c r="Z314" s="25"/>
    </x:row>
    <x:row r="315">
      <x:c r="A315" s="25"/>
      <x:c r="B315" s="25"/>
      <x:c r="C315" s="25"/>
      <x:c r="D315" s="25"/>
      <x:c r="E315" s="25"/>
      <x:c r="F315" s="25"/>
      <x:c r="G315" s="25"/>
      <x:c r="H315" s="25"/>
      <x:c r="I315" s="25"/>
      <x:c r="J315" s="25"/>
      <x:c r="K315" s="25"/>
      <x:c r="L315" s="25"/>
      <x:c r="M315" s="25"/>
      <x:c r="N315" s="25"/>
      <x:c r="O315" s="25"/>
      <x:c r="P315" s="25"/>
      <x:c r="Q315" s="25"/>
      <x:c r="R315" s="25"/>
      <x:c r="S315" s="25"/>
      <x:c r="T315" s="25"/>
      <x:c r="U315" s="25"/>
      <x:c r="V315" s="25"/>
      <x:c r="W315" s="25"/>
      <x:c r="X315" s="25"/>
      <x:c r="Y315" s="25"/>
      <x:c r="Z315" s="25"/>
    </x:row>
    <x:row r="316">
      <x:c r="A316" s="25"/>
      <x:c r="B316" s="25"/>
      <x:c r="C316" s="25"/>
      <x:c r="D316" s="25"/>
      <x:c r="E316" s="25"/>
      <x:c r="F316" s="25"/>
      <x:c r="G316" s="25"/>
      <x:c r="H316" s="25"/>
      <x:c r="I316" s="25"/>
      <x:c r="J316" s="25"/>
      <x:c r="K316" s="25"/>
      <x:c r="L316" s="25"/>
      <x:c r="M316" s="25"/>
      <x:c r="N316" s="25"/>
      <x:c r="O316" s="25"/>
      <x:c r="P316" s="25"/>
      <x:c r="Q316" s="25"/>
      <x:c r="R316" s="25"/>
      <x:c r="S316" s="25"/>
      <x:c r="T316" s="25"/>
      <x:c r="U316" s="25"/>
      <x:c r="V316" s="25"/>
      <x:c r="W316" s="25"/>
      <x:c r="X316" s="25"/>
      <x:c r="Y316" s="25"/>
      <x:c r="Z316" s="25"/>
    </x:row>
    <x:row r="317">
      <x:c r="A317" s="25"/>
      <x:c r="B317" s="25"/>
      <x:c r="C317" s="25"/>
      <x:c r="D317" s="25"/>
      <x:c r="E317" s="25"/>
      <x:c r="F317" s="25"/>
      <x:c r="G317" s="25"/>
      <x:c r="H317" s="25"/>
      <x:c r="I317" s="25"/>
      <x:c r="J317" s="25"/>
      <x:c r="K317" s="25"/>
      <x:c r="L317" s="25"/>
      <x:c r="M317" s="25"/>
      <x:c r="N317" s="25"/>
      <x:c r="O317" s="25"/>
      <x:c r="P317" s="25"/>
      <x:c r="Q317" s="25"/>
      <x:c r="R317" s="25"/>
      <x:c r="S317" s="25"/>
      <x:c r="T317" s="25"/>
      <x:c r="U317" s="25"/>
      <x:c r="V317" s="25"/>
      <x:c r="W317" s="25"/>
      <x:c r="X317" s="25"/>
      <x:c r="Y317" s="25"/>
      <x:c r="Z317" s="25"/>
    </x:row>
    <x:row r="318">
      <x:c r="A318" s="25"/>
      <x:c r="B318" s="25"/>
      <x:c r="C318" s="25"/>
      <x:c r="D318" s="25"/>
      <x:c r="E318" s="25"/>
      <x:c r="F318" s="25"/>
      <x:c r="G318" s="25"/>
      <x:c r="H318" s="25"/>
      <x:c r="I318" s="25"/>
      <x:c r="J318" s="25"/>
      <x:c r="K318" s="25"/>
      <x:c r="L318" s="25"/>
      <x:c r="M318" s="25"/>
      <x:c r="N318" s="25"/>
      <x:c r="O318" s="25"/>
      <x:c r="P318" s="25"/>
      <x:c r="Q318" s="25"/>
      <x:c r="R318" s="25"/>
      <x:c r="S318" s="25"/>
      <x:c r="T318" s="25"/>
      <x:c r="U318" s="25"/>
      <x:c r="V318" s="25"/>
      <x:c r="W318" s="25"/>
      <x:c r="X318" s="25"/>
      <x:c r="Y318" s="25"/>
      <x:c r="Z318" s="25"/>
    </x:row>
    <x:row r="319">
      <x:c r="A319" s="25"/>
      <x:c r="B319" s="25"/>
      <x:c r="C319" s="25"/>
      <x:c r="D319" s="25"/>
      <x:c r="E319" s="25"/>
      <x:c r="F319" s="25"/>
      <x:c r="G319" s="25"/>
      <x:c r="H319" s="25"/>
      <x:c r="I319" s="25"/>
      <x:c r="J319" s="25"/>
      <x:c r="K319" s="25"/>
      <x:c r="L319" s="25"/>
      <x:c r="M319" s="25"/>
      <x:c r="N319" s="25"/>
      <x:c r="O319" s="25"/>
      <x:c r="P319" s="25"/>
      <x:c r="Q319" s="25"/>
      <x:c r="R319" s="25"/>
      <x:c r="S319" s="25"/>
      <x:c r="T319" s="25"/>
      <x:c r="U319" s="25"/>
      <x:c r="V319" s="25"/>
      <x:c r="W319" s="25"/>
      <x:c r="X319" s="25"/>
      <x:c r="Y319" s="25"/>
      <x:c r="Z319" s="25"/>
    </x:row>
    <x:row r="320">
      <x:c r="A320" s="25"/>
      <x:c r="B320" s="25"/>
      <x:c r="C320" s="25"/>
      <x:c r="D320" s="25"/>
      <x:c r="E320" s="25"/>
      <x:c r="F320" s="25"/>
      <x:c r="G320" s="25"/>
      <x:c r="H320" s="25"/>
      <x:c r="I320" s="25"/>
      <x:c r="J320" s="25"/>
      <x:c r="K320" s="25"/>
      <x:c r="L320" s="25"/>
      <x:c r="M320" s="25"/>
      <x:c r="N320" s="25"/>
      <x:c r="O320" s="25"/>
      <x:c r="P320" s="25"/>
      <x:c r="Q320" s="25"/>
      <x:c r="R320" s="25"/>
      <x:c r="S320" s="25"/>
      <x:c r="T320" s="25"/>
      <x:c r="U320" s="25"/>
      <x:c r="V320" s="25"/>
      <x:c r="W320" s="25"/>
      <x:c r="X320" s="25"/>
      <x:c r="Y320" s="25"/>
      <x:c r="Z320" s="25"/>
    </x:row>
    <x:row r="321">
      <x:c r="A321" s="25"/>
      <x:c r="B321" s="25"/>
      <x:c r="C321" s="25"/>
      <x:c r="D321" s="25"/>
      <x:c r="E321" s="25"/>
      <x:c r="F321" s="25"/>
      <x:c r="G321" s="25"/>
      <x:c r="H321" s="25"/>
      <x:c r="I321" s="25"/>
      <x:c r="J321" s="25"/>
      <x:c r="K321" s="25"/>
      <x:c r="L321" s="25"/>
      <x:c r="M321" s="25"/>
      <x:c r="N321" s="25"/>
      <x:c r="O321" s="25"/>
      <x:c r="P321" s="25"/>
      <x:c r="Q321" s="25"/>
      <x:c r="R321" s="25"/>
      <x:c r="S321" s="25"/>
      <x:c r="T321" s="25"/>
      <x:c r="U321" s="25"/>
      <x:c r="V321" s="25"/>
      <x:c r="W321" s="25"/>
      <x:c r="X321" s="25"/>
      <x:c r="Y321" s="25"/>
      <x:c r="Z321" s="25"/>
    </x:row>
    <x:row r="322">
      <x:c r="A322" s="25"/>
      <x:c r="B322" s="25"/>
      <x:c r="C322" s="25"/>
      <x:c r="D322" s="25"/>
      <x:c r="E322" s="25"/>
      <x:c r="F322" s="25"/>
      <x:c r="G322" s="25"/>
      <x:c r="H322" s="25"/>
      <x:c r="I322" s="25"/>
      <x:c r="J322" s="25"/>
      <x:c r="K322" s="25"/>
      <x:c r="L322" s="25"/>
      <x:c r="M322" s="25"/>
      <x:c r="N322" s="25"/>
      <x:c r="O322" s="25"/>
      <x:c r="P322" s="25"/>
      <x:c r="Q322" s="25"/>
      <x:c r="R322" s="25"/>
      <x:c r="S322" s="25"/>
      <x:c r="T322" s="25"/>
      <x:c r="U322" s="25"/>
      <x:c r="V322" s="25"/>
      <x:c r="W322" s="25"/>
      <x:c r="X322" s="25"/>
      <x:c r="Y322" s="25"/>
      <x:c r="Z322" s="25"/>
    </x:row>
    <x:row r="323">
      <x:c r="A323" s="25"/>
      <x:c r="B323" s="25"/>
      <x:c r="C323" s="25"/>
      <x:c r="D323" s="25"/>
      <x:c r="E323" s="25"/>
      <x:c r="F323" s="25"/>
      <x:c r="G323" s="25"/>
      <x:c r="H323" s="25"/>
      <x:c r="I323" s="25"/>
      <x:c r="J323" s="25"/>
      <x:c r="K323" s="25"/>
      <x:c r="L323" s="25"/>
      <x:c r="M323" s="25"/>
      <x:c r="N323" s="25"/>
      <x:c r="O323" s="25"/>
      <x:c r="P323" s="25"/>
      <x:c r="Q323" s="25"/>
      <x:c r="R323" s="25"/>
      <x:c r="S323" s="25"/>
      <x:c r="T323" s="25"/>
      <x:c r="U323" s="25"/>
      <x:c r="V323" s="25"/>
      <x:c r="W323" s="25"/>
      <x:c r="X323" s="25"/>
      <x:c r="Y323" s="25"/>
      <x:c r="Z323" s="25"/>
    </x:row>
    <x:row r="324">
      <x:c r="A324" s="25"/>
      <x:c r="B324" s="25"/>
      <x:c r="C324" s="25"/>
      <x:c r="D324" s="25"/>
      <x:c r="E324" s="25"/>
      <x:c r="F324" s="25"/>
      <x:c r="G324" s="25"/>
      <x:c r="H324" s="25"/>
      <x:c r="I324" s="25"/>
      <x:c r="J324" s="25"/>
      <x:c r="K324" s="25"/>
      <x:c r="L324" s="25"/>
      <x:c r="M324" s="25"/>
      <x:c r="N324" s="25"/>
      <x:c r="O324" s="25"/>
      <x:c r="P324" s="25"/>
      <x:c r="Q324" s="25"/>
      <x:c r="R324" s="25"/>
      <x:c r="S324" s="25"/>
      <x:c r="T324" s="25"/>
      <x:c r="U324" s="25"/>
      <x:c r="V324" s="25"/>
      <x:c r="W324" s="25"/>
      <x:c r="X324" s="25"/>
      <x:c r="Y324" s="25"/>
      <x:c r="Z324" s="25"/>
    </x:row>
    <x:row r="325">
      <x:c r="A325" s="25"/>
      <x:c r="B325" s="25"/>
      <x:c r="C325" s="25"/>
      <x:c r="D325" s="25"/>
      <x:c r="E325" s="25"/>
      <x:c r="F325" s="25"/>
      <x:c r="G325" s="25"/>
      <x:c r="H325" s="25"/>
      <x:c r="I325" s="25"/>
      <x:c r="J325" s="25"/>
      <x:c r="K325" s="25"/>
      <x:c r="L325" s="25"/>
      <x:c r="M325" s="25"/>
      <x:c r="N325" s="25"/>
      <x:c r="O325" s="25"/>
      <x:c r="P325" s="25"/>
      <x:c r="Q325" s="25"/>
      <x:c r="R325" s="25"/>
      <x:c r="S325" s="25"/>
      <x:c r="T325" s="25"/>
      <x:c r="U325" s="25"/>
      <x:c r="V325" s="25"/>
      <x:c r="W325" s="25"/>
      <x:c r="X325" s="25"/>
      <x:c r="Y325" s="25"/>
      <x:c r="Z325" s="25"/>
    </x:row>
    <x:row r="326">
      <x:c r="A326" s="25"/>
      <x:c r="B326" s="25"/>
      <x:c r="C326" s="25"/>
      <x:c r="D326" s="25"/>
      <x:c r="E326" s="25"/>
      <x:c r="F326" s="25"/>
      <x:c r="G326" s="25"/>
      <x:c r="H326" s="25"/>
      <x:c r="I326" s="25"/>
      <x:c r="J326" s="25"/>
      <x:c r="K326" s="25"/>
      <x:c r="L326" s="25"/>
      <x:c r="M326" s="25"/>
      <x:c r="N326" s="25"/>
      <x:c r="O326" s="25"/>
      <x:c r="P326" s="25"/>
      <x:c r="Q326" s="25"/>
      <x:c r="R326" s="25"/>
      <x:c r="S326" s="25"/>
      <x:c r="T326" s="25"/>
      <x:c r="U326" s="25"/>
      <x:c r="V326" s="25"/>
      <x:c r="W326" s="25"/>
      <x:c r="X326" s="25"/>
      <x:c r="Y326" s="25"/>
      <x:c r="Z326" s="25"/>
    </x:row>
    <x:row r="327">
      <x:c r="A327" s="25"/>
      <x:c r="B327" s="25"/>
      <x:c r="C327" s="25"/>
      <x:c r="D327" s="25"/>
      <x:c r="E327" s="25"/>
      <x:c r="F327" s="25"/>
      <x:c r="G327" s="25"/>
      <x:c r="H327" s="25"/>
      <x:c r="I327" s="25"/>
      <x:c r="J327" s="25"/>
      <x:c r="K327" s="25"/>
      <x:c r="L327" s="25"/>
      <x:c r="M327" s="25"/>
      <x:c r="N327" s="25"/>
      <x:c r="O327" s="25"/>
      <x:c r="P327" s="25"/>
      <x:c r="Q327" s="25"/>
      <x:c r="R327" s="25"/>
      <x:c r="S327" s="25"/>
      <x:c r="T327" s="25"/>
      <x:c r="U327" s="25"/>
      <x:c r="V327" s="25"/>
      <x:c r="W327" s="25"/>
      <x:c r="X327" s="25"/>
      <x:c r="Y327" s="25"/>
      <x:c r="Z327" s="25"/>
    </x:row>
    <x:row r="328">
      <x:c r="A328" s="25"/>
      <x:c r="B328" s="25"/>
      <x:c r="C328" s="25"/>
      <x:c r="D328" s="25"/>
      <x:c r="E328" s="25"/>
      <x:c r="F328" s="25"/>
      <x:c r="G328" s="25"/>
      <x:c r="H328" s="25"/>
      <x:c r="I328" s="25"/>
      <x:c r="J328" s="25"/>
      <x:c r="K328" s="25"/>
      <x:c r="L328" s="25"/>
      <x:c r="M328" s="25"/>
      <x:c r="N328" s="25"/>
      <x:c r="O328" s="25"/>
      <x:c r="P328" s="25"/>
      <x:c r="Q328" s="25"/>
      <x:c r="R328" s="25"/>
      <x:c r="S328" s="25"/>
      <x:c r="T328" s="25"/>
      <x:c r="U328" s="25"/>
      <x:c r="V328" s="25"/>
      <x:c r="W328" s="25"/>
      <x:c r="X328" s="25"/>
      <x:c r="Y328" s="25"/>
      <x:c r="Z328" s="25"/>
    </x:row>
    <x:row r="329">
      <x:c r="A329" s="25"/>
      <x:c r="B329" s="25"/>
      <x:c r="C329" s="25"/>
      <x:c r="D329" s="25"/>
      <x:c r="E329" s="25"/>
      <x:c r="F329" s="25"/>
      <x:c r="G329" s="25"/>
      <x:c r="H329" s="25"/>
      <x:c r="I329" s="25"/>
      <x:c r="J329" s="25"/>
      <x:c r="K329" s="25"/>
      <x:c r="L329" s="25"/>
      <x:c r="M329" s="25"/>
      <x:c r="N329" s="25"/>
      <x:c r="O329" s="25"/>
      <x:c r="P329" s="25"/>
      <x:c r="Q329" s="25"/>
      <x:c r="R329" s="25"/>
      <x:c r="S329" s="25"/>
      <x:c r="T329" s="25"/>
      <x:c r="U329" s="25"/>
      <x:c r="V329" s="25"/>
      <x:c r="W329" s="25"/>
      <x:c r="X329" s="25"/>
      <x:c r="Y329" s="25"/>
      <x:c r="Z329" s="25"/>
    </x:row>
    <x:row r="330">
      <x:c r="A330" s="25"/>
      <x:c r="B330" s="25"/>
      <x:c r="C330" s="25"/>
      <x:c r="D330" s="25"/>
      <x:c r="E330" s="25"/>
      <x:c r="F330" s="25"/>
      <x:c r="G330" s="25"/>
      <x:c r="H330" s="25"/>
      <x:c r="I330" s="25"/>
      <x:c r="J330" s="25"/>
      <x:c r="K330" s="25"/>
      <x:c r="L330" s="25"/>
      <x:c r="M330" s="25"/>
      <x:c r="N330" s="25"/>
      <x:c r="O330" s="25"/>
      <x:c r="P330" s="25"/>
      <x:c r="Q330" s="25"/>
      <x:c r="R330" s="25"/>
      <x:c r="S330" s="25"/>
      <x:c r="T330" s="25"/>
      <x:c r="U330" s="25"/>
      <x:c r="V330" s="25"/>
      <x:c r="W330" s="25"/>
      <x:c r="X330" s="25"/>
      <x:c r="Y330" s="25"/>
      <x:c r="Z330" s="25"/>
    </x:row>
    <x:row r="331">
      <x:c r="A331" s="25"/>
      <x:c r="B331" s="25"/>
      <x:c r="C331" s="25"/>
      <x:c r="D331" s="25"/>
      <x:c r="E331" s="25"/>
      <x:c r="F331" s="25"/>
      <x:c r="G331" s="25"/>
      <x:c r="H331" s="25"/>
      <x:c r="I331" s="25"/>
      <x:c r="J331" s="25"/>
      <x:c r="K331" s="25"/>
      <x:c r="L331" s="25"/>
      <x:c r="M331" s="25"/>
      <x:c r="N331" s="25"/>
      <x:c r="O331" s="25"/>
      <x:c r="P331" s="25"/>
      <x:c r="Q331" s="25"/>
      <x:c r="R331" s="25"/>
      <x:c r="S331" s="25"/>
      <x:c r="T331" s="25"/>
      <x:c r="U331" s="25"/>
      <x:c r="V331" s="25"/>
      <x:c r="W331" s="25"/>
      <x:c r="X331" s="25"/>
      <x:c r="Y331" s="25"/>
      <x:c r="Z331" s="25"/>
    </x:row>
    <x:row r="332">
      <x:c r="A332" s="25"/>
      <x:c r="B332" s="25"/>
      <x:c r="C332" s="25"/>
      <x:c r="D332" s="25"/>
      <x:c r="E332" s="25"/>
      <x:c r="F332" s="25"/>
      <x:c r="G332" s="25"/>
      <x:c r="H332" s="25"/>
      <x:c r="I332" s="25"/>
      <x:c r="J332" s="25"/>
      <x:c r="K332" s="25"/>
      <x:c r="L332" s="25"/>
      <x:c r="M332" s="25"/>
      <x:c r="N332" s="25"/>
      <x:c r="O332" s="25"/>
      <x:c r="P332" s="25"/>
      <x:c r="Q332" s="25"/>
      <x:c r="R332" s="25"/>
      <x:c r="S332" s="25"/>
      <x:c r="T332" s="25"/>
      <x:c r="U332" s="25"/>
      <x:c r="V332" s="25"/>
      <x:c r="W332" s="25"/>
      <x:c r="X332" s="25"/>
      <x:c r="Y332" s="25"/>
      <x:c r="Z332" s="25"/>
    </x:row>
    <x:row r="333">
      <x:c r="A333" s="25"/>
      <x:c r="B333" s="25"/>
      <x:c r="C333" s="25"/>
      <x:c r="D333" s="25"/>
      <x:c r="E333" s="25"/>
      <x:c r="F333" s="25"/>
      <x:c r="G333" s="25"/>
      <x:c r="H333" s="25"/>
      <x:c r="I333" s="25"/>
      <x:c r="J333" s="25"/>
      <x:c r="K333" s="25"/>
      <x:c r="L333" s="25"/>
      <x:c r="M333" s="25"/>
      <x:c r="N333" s="25"/>
      <x:c r="O333" s="25"/>
      <x:c r="P333" s="25"/>
      <x:c r="Q333" s="25"/>
      <x:c r="R333" s="25"/>
      <x:c r="S333" s="25"/>
      <x:c r="T333" s="25"/>
      <x:c r="U333" s="25"/>
      <x:c r="V333" s="25"/>
      <x:c r="W333" s="25"/>
      <x:c r="X333" s="25"/>
      <x:c r="Y333" s="25"/>
      <x:c r="Z333" s="25"/>
    </x:row>
    <x:row r="334">
      <x:c r="A334" s="25"/>
      <x:c r="B334" s="25"/>
      <x:c r="C334" s="25"/>
      <x:c r="D334" s="25"/>
      <x:c r="E334" s="25"/>
      <x:c r="F334" s="25"/>
      <x:c r="G334" s="25"/>
      <x:c r="H334" s="25"/>
      <x:c r="I334" s="25"/>
      <x:c r="J334" s="25"/>
      <x:c r="K334" s="25"/>
      <x:c r="L334" s="25"/>
      <x:c r="M334" s="25"/>
      <x:c r="N334" s="25"/>
      <x:c r="O334" s="25"/>
      <x:c r="P334" s="25"/>
      <x:c r="Q334" s="25"/>
      <x:c r="R334" s="25"/>
      <x:c r="S334" s="25"/>
      <x:c r="T334" s="25"/>
      <x:c r="U334" s="25"/>
      <x:c r="V334" s="25"/>
      <x:c r="W334" s="25"/>
      <x:c r="X334" s="25"/>
      <x:c r="Y334" s="25"/>
      <x:c r="Z334" s="25"/>
    </x:row>
    <x:row r="335">
      <x:c r="A335" s="25"/>
      <x:c r="B335" s="25"/>
      <x:c r="C335" s="25"/>
      <x:c r="D335" s="25"/>
      <x:c r="E335" s="25"/>
      <x:c r="F335" s="25"/>
      <x:c r="G335" s="25"/>
      <x:c r="H335" s="25"/>
      <x:c r="I335" s="25"/>
      <x:c r="J335" s="25"/>
      <x:c r="K335" s="25"/>
      <x:c r="L335" s="25"/>
      <x:c r="M335" s="25"/>
      <x:c r="N335" s="25"/>
      <x:c r="O335" s="25"/>
      <x:c r="P335" s="25"/>
      <x:c r="Q335" s="25"/>
      <x:c r="R335" s="25"/>
      <x:c r="S335" s="25"/>
      <x:c r="T335" s="25"/>
      <x:c r="U335" s="25"/>
      <x:c r="V335" s="25"/>
      <x:c r="W335" s="25"/>
      <x:c r="X335" s="25"/>
      <x:c r="Y335" s="25"/>
      <x:c r="Z335" s="25"/>
    </x:row>
    <x:row r="336">
      <x:c r="A336" s="25"/>
      <x:c r="B336" s="25"/>
      <x:c r="C336" s="25"/>
      <x:c r="D336" s="25"/>
      <x:c r="E336" s="25"/>
      <x:c r="F336" s="25"/>
      <x:c r="G336" s="25"/>
      <x:c r="H336" s="25"/>
      <x:c r="I336" s="25"/>
      <x:c r="J336" s="25"/>
      <x:c r="K336" s="25"/>
      <x:c r="L336" s="25"/>
      <x:c r="M336" s="25"/>
      <x:c r="N336" s="25"/>
      <x:c r="O336" s="25"/>
      <x:c r="P336" s="25"/>
      <x:c r="Q336" s="25"/>
      <x:c r="R336" s="25"/>
      <x:c r="S336" s="25"/>
      <x:c r="T336" s="25"/>
      <x:c r="U336" s="25"/>
      <x:c r="V336" s="25"/>
      <x:c r="W336" s="25"/>
      <x:c r="X336" s="25"/>
      <x:c r="Y336" s="25"/>
      <x:c r="Z336" s="25"/>
    </x:row>
    <x:row r="337">
      <x:c r="A337" s="25"/>
      <x:c r="B337" s="25"/>
      <x:c r="C337" s="25"/>
      <x:c r="D337" s="25"/>
      <x:c r="E337" s="25"/>
      <x:c r="F337" s="25"/>
      <x:c r="G337" s="25"/>
      <x:c r="H337" s="25"/>
      <x:c r="I337" s="25"/>
      <x:c r="J337" s="25"/>
      <x:c r="K337" s="25"/>
      <x:c r="L337" s="25"/>
      <x:c r="M337" s="25"/>
      <x:c r="N337" s="25"/>
      <x:c r="O337" s="25"/>
      <x:c r="P337" s="25"/>
      <x:c r="Q337" s="25"/>
      <x:c r="R337" s="25"/>
      <x:c r="S337" s="25"/>
      <x:c r="T337" s="25"/>
      <x:c r="U337" s="25"/>
      <x:c r="V337" s="25"/>
      <x:c r="W337" s="25"/>
      <x:c r="X337" s="25"/>
      <x:c r="Y337" s="25"/>
      <x:c r="Z337" s="25"/>
    </x:row>
    <x:row r="338">
      <x:c r="A338" s="25"/>
      <x:c r="B338" s="25"/>
      <x:c r="C338" s="25"/>
      <x:c r="D338" s="25"/>
      <x:c r="E338" s="25"/>
      <x:c r="F338" s="25"/>
      <x:c r="G338" s="25"/>
      <x:c r="H338" s="25"/>
      <x:c r="I338" s="25"/>
      <x:c r="J338" s="25"/>
      <x:c r="K338" s="25"/>
      <x:c r="L338" s="25"/>
      <x:c r="M338" s="25"/>
      <x:c r="N338" s="25"/>
      <x:c r="O338" s="25"/>
      <x:c r="P338" s="25"/>
      <x:c r="Q338" s="25"/>
      <x:c r="R338" s="25"/>
      <x:c r="S338" s="25"/>
      <x:c r="T338" s="25"/>
      <x:c r="U338" s="25"/>
      <x:c r="V338" s="25"/>
      <x:c r="W338" s="25"/>
      <x:c r="X338" s="25"/>
      <x:c r="Y338" s="25"/>
      <x:c r="Z338" s="25"/>
    </x:row>
    <x:row r="339">
      <x:c r="A339" s="25"/>
      <x:c r="B339" s="25"/>
      <x:c r="C339" s="25"/>
      <x:c r="D339" s="25"/>
      <x:c r="E339" s="25"/>
      <x:c r="F339" s="25"/>
      <x:c r="G339" s="25"/>
      <x:c r="H339" s="25"/>
      <x:c r="I339" s="25"/>
      <x:c r="J339" s="25"/>
      <x:c r="K339" s="25"/>
      <x:c r="L339" s="25"/>
      <x:c r="M339" s="25"/>
      <x:c r="N339" s="25"/>
      <x:c r="O339" s="25"/>
      <x:c r="P339" s="25"/>
      <x:c r="Q339" s="25"/>
      <x:c r="R339" s="25"/>
      <x:c r="S339" s="25"/>
      <x:c r="T339" s="25"/>
      <x:c r="U339" s="25"/>
      <x:c r="V339" s="25"/>
      <x:c r="W339" s="25"/>
      <x:c r="X339" s="25"/>
      <x:c r="Y339" s="25"/>
      <x:c r="Z339" s="25"/>
    </x:row>
    <x:row r="340">
      <x:c r="A340" s="25"/>
      <x:c r="B340" s="25"/>
      <x:c r="C340" s="25"/>
      <x:c r="D340" s="25"/>
      <x:c r="E340" s="25"/>
      <x:c r="F340" s="25"/>
      <x:c r="G340" s="25"/>
      <x:c r="H340" s="25"/>
      <x:c r="I340" s="25"/>
      <x:c r="J340" s="25"/>
      <x:c r="K340" s="25"/>
      <x:c r="L340" s="25"/>
      <x:c r="M340" s="25"/>
      <x:c r="N340" s="25"/>
      <x:c r="O340" s="25"/>
      <x:c r="P340" s="25"/>
      <x:c r="Q340" s="25"/>
      <x:c r="R340" s="25"/>
      <x:c r="S340" s="25"/>
      <x:c r="T340" s="25"/>
      <x:c r="U340" s="25"/>
      <x:c r="V340" s="25"/>
      <x:c r="W340" s="25"/>
      <x:c r="X340" s="25"/>
      <x:c r="Y340" s="25"/>
      <x:c r="Z340" s="25"/>
    </x:row>
    <x:row r="341">
      <x:c r="A341" s="25"/>
      <x:c r="B341" s="25"/>
      <x:c r="C341" s="25"/>
      <x:c r="D341" s="25"/>
      <x:c r="E341" s="25"/>
      <x:c r="F341" s="25"/>
      <x:c r="G341" s="25"/>
      <x:c r="H341" s="25"/>
      <x:c r="I341" s="25"/>
      <x:c r="J341" s="25"/>
      <x:c r="K341" s="25"/>
      <x:c r="L341" s="25"/>
      <x:c r="M341" s="25"/>
      <x:c r="N341" s="25"/>
      <x:c r="O341" s="25"/>
      <x:c r="P341" s="25"/>
      <x:c r="Q341" s="25"/>
      <x:c r="R341" s="25"/>
      <x:c r="S341" s="25"/>
      <x:c r="T341" s="25"/>
      <x:c r="U341" s="25"/>
      <x:c r="V341" s="25"/>
      <x:c r="W341" s="25"/>
      <x:c r="X341" s="25"/>
      <x:c r="Y341" s="25"/>
      <x:c r="Z341" s="25"/>
    </x:row>
    <x:row r="342">
      <x:c r="A342" s="25"/>
      <x:c r="B342" s="25"/>
      <x:c r="C342" s="25"/>
      <x:c r="D342" s="25"/>
      <x:c r="E342" s="25"/>
      <x:c r="F342" s="25"/>
      <x:c r="G342" s="25"/>
      <x:c r="H342" s="25"/>
      <x:c r="I342" s="25"/>
      <x:c r="J342" s="25"/>
      <x:c r="K342" s="25"/>
      <x:c r="L342" s="25"/>
      <x:c r="M342" s="25"/>
      <x:c r="N342" s="25"/>
      <x:c r="O342" s="25"/>
      <x:c r="P342" s="25"/>
      <x:c r="Q342" s="25"/>
      <x:c r="R342" s="25"/>
      <x:c r="S342" s="25"/>
      <x:c r="T342" s="25"/>
      <x:c r="U342" s="25"/>
      <x:c r="V342" s="25"/>
      <x:c r="W342" s="25"/>
      <x:c r="X342" s="25"/>
      <x:c r="Y342" s="25"/>
      <x:c r="Z342" s="25"/>
    </x:row>
    <x:row r="343">
      <x:c r="A343" s="25"/>
      <x:c r="B343" s="25"/>
      <x:c r="C343" s="25"/>
      <x:c r="D343" s="25"/>
      <x:c r="E343" s="25"/>
      <x:c r="F343" s="25"/>
      <x:c r="G343" s="25"/>
      <x:c r="H343" s="25"/>
      <x:c r="I343" s="25"/>
      <x:c r="J343" s="25"/>
      <x:c r="K343" s="25"/>
      <x:c r="L343" s="25"/>
      <x:c r="M343" s="25"/>
      <x:c r="N343" s="25"/>
      <x:c r="O343" s="25"/>
      <x:c r="P343" s="25"/>
      <x:c r="Q343" s="25"/>
      <x:c r="R343" s="25"/>
      <x:c r="S343" s="25"/>
      <x:c r="T343" s="25"/>
      <x:c r="U343" s="25"/>
      <x:c r="V343" s="25"/>
      <x:c r="W343" s="25"/>
      <x:c r="X343" s="25"/>
      <x:c r="Y343" s="25"/>
      <x:c r="Z343" s="25"/>
    </x:row>
    <x:row r="344">
      <x:c r="A344" s="25"/>
      <x:c r="B344" s="25"/>
      <x:c r="C344" s="25"/>
      <x:c r="D344" s="25"/>
      <x:c r="E344" s="25"/>
      <x:c r="F344" s="25"/>
      <x:c r="G344" s="25"/>
      <x:c r="H344" s="25"/>
      <x:c r="I344" s="25"/>
      <x:c r="J344" s="25"/>
      <x:c r="K344" s="25"/>
      <x:c r="L344" s="25"/>
      <x:c r="M344" s="25"/>
      <x:c r="N344" s="25"/>
      <x:c r="O344" s="25"/>
      <x:c r="P344" s="25"/>
      <x:c r="Q344" s="25"/>
      <x:c r="R344" s="25"/>
      <x:c r="S344" s="25"/>
      <x:c r="T344" s="25"/>
      <x:c r="U344" s="25"/>
      <x:c r="V344" s="25"/>
      <x:c r="W344" s="25"/>
      <x:c r="X344" s="25"/>
      <x:c r="Y344" s="25"/>
      <x:c r="Z344" s="25"/>
    </x:row>
    <x:row r="345">
      <x:c r="A345" s="25"/>
      <x:c r="B345" s="25"/>
      <x:c r="C345" s="25"/>
      <x:c r="D345" s="25"/>
      <x:c r="E345" s="25"/>
      <x:c r="F345" s="25"/>
      <x:c r="G345" s="25"/>
      <x:c r="H345" s="25"/>
      <x:c r="I345" s="25"/>
      <x:c r="J345" s="25"/>
      <x:c r="K345" s="25"/>
      <x:c r="L345" s="25"/>
      <x:c r="M345" s="25"/>
      <x:c r="N345" s="25"/>
      <x:c r="O345" s="25"/>
      <x:c r="P345" s="25"/>
      <x:c r="Q345" s="25"/>
      <x:c r="R345" s="25"/>
      <x:c r="S345" s="25"/>
      <x:c r="T345" s="25"/>
      <x:c r="U345" s="25"/>
      <x:c r="V345" s="25"/>
      <x:c r="W345" s="25"/>
      <x:c r="X345" s="25"/>
      <x:c r="Y345" s="25"/>
      <x:c r="Z345" s="25"/>
    </x:row>
    <x:row r="346">
      <x:c r="A346" s="25"/>
      <x:c r="B346" s="25"/>
      <x:c r="C346" s="25"/>
      <x:c r="D346" s="25"/>
      <x:c r="E346" s="25"/>
      <x:c r="F346" s="25"/>
      <x:c r="G346" s="25"/>
      <x:c r="H346" s="25"/>
      <x:c r="I346" s="25"/>
      <x:c r="J346" s="25"/>
      <x:c r="K346" s="25"/>
      <x:c r="L346" s="25"/>
      <x:c r="M346" s="25"/>
      <x:c r="N346" s="25"/>
      <x:c r="O346" s="25"/>
      <x:c r="P346" s="25"/>
      <x:c r="Q346" s="25"/>
      <x:c r="R346" s="25"/>
      <x:c r="S346" s="25"/>
      <x:c r="T346" s="25"/>
      <x:c r="U346" s="25"/>
      <x:c r="V346" s="25"/>
      <x:c r="W346" s="25"/>
      <x:c r="X346" s="25"/>
      <x:c r="Y346" s="25"/>
      <x:c r="Z346" s="25"/>
    </x:row>
    <x:row r="347">
      <x:c r="A347" s="25"/>
      <x:c r="B347" s="25"/>
      <x:c r="C347" s="25"/>
      <x:c r="D347" s="25"/>
      <x:c r="E347" s="25"/>
      <x:c r="F347" s="25"/>
      <x:c r="G347" s="25"/>
      <x:c r="H347" s="25"/>
      <x:c r="I347" s="25"/>
      <x:c r="J347" s="25"/>
      <x:c r="K347" s="25"/>
      <x:c r="L347" s="25"/>
      <x:c r="M347" s="25"/>
      <x:c r="N347" s="25"/>
      <x:c r="O347" s="25"/>
      <x:c r="P347" s="25"/>
      <x:c r="Q347" s="25"/>
      <x:c r="R347" s="25"/>
      <x:c r="S347" s="25"/>
      <x:c r="T347" s="25"/>
      <x:c r="U347" s="25"/>
      <x:c r="V347" s="25"/>
      <x:c r="W347" s="25"/>
      <x:c r="X347" s="25"/>
      <x:c r="Y347" s="25"/>
      <x:c r="Z347" s="25"/>
    </x:row>
    <x:row r="348">
      <x:c r="A348" s="25"/>
      <x:c r="B348" s="25"/>
      <x:c r="C348" s="25"/>
      <x:c r="D348" s="25"/>
      <x:c r="E348" s="25"/>
      <x:c r="F348" s="25"/>
      <x:c r="G348" s="25"/>
      <x:c r="H348" s="25"/>
      <x:c r="I348" s="25"/>
      <x:c r="J348" s="25"/>
      <x:c r="K348" s="25"/>
      <x:c r="L348" s="25"/>
      <x:c r="M348" s="25"/>
      <x:c r="N348" s="25"/>
      <x:c r="O348" s="25"/>
      <x:c r="P348" s="25"/>
      <x:c r="Q348" s="25"/>
      <x:c r="R348" s="25"/>
      <x:c r="S348" s="25"/>
      <x:c r="T348" s="25"/>
      <x:c r="U348" s="25"/>
      <x:c r="V348" s="25"/>
      <x:c r="W348" s="25"/>
      <x:c r="X348" s="25"/>
      <x:c r="Y348" s="25"/>
      <x:c r="Z348" s="25"/>
    </x:row>
    <x:row r="349">
      <x:c r="A349" s="25"/>
      <x:c r="B349" s="25"/>
      <x:c r="C349" s="25"/>
      <x:c r="D349" s="25"/>
      <x:c r="E349" s="25"/>
      <x:c r="F349" s="25"/>
      <x:c r="G349" s="25"/>
      <x:c r="H349" s="25"/>
      <x:c r="I349" s="25"/>
      <x:c r="J349" s="25"/>
      <x:c r="K349" s="25"/>
      <x:c r="L349" s="25"/>
      <x:c r="M349" s="25"/>
      <x:c r="N349" s="25"/>
      <x:c r="O349" s="25"/>
      <x:c r="P349" s="25"/>
      <x:c r="Q349" s="25"/>
      <x:c r="R349" s="25"/>
      <x:c r="S349" s="25"/>
      <x:c r="T349" s="25"/>
      <x:c r="U349" s="25"/>
      <x:c r="V349" s="25"/>
      <x:c r="W349" s="25"/>
      <x:c r="X349" s="25"/>
      <x:c r="Y349" s="25"/>
      <x:c r="Z349" s="25"/>
    </x:row>
    <x:row r="350">
      <x:c r="A350" s="25"/>
      <x:c r="B350" s="25"/>
      <x:c r="C350" s="25"/>
      <x:c r="D350" s="25"/>
      <x:c r="E350" s="25"/>
      <x:c r="F350" s="25"/>
      <x:c r="G350" s="25"/>
      <x:c r="H350" s="25"/>
      <x:c r="I350" s="25"/>
      <x:c r="J350" s="25"/>
      <x:c r="K350" s="25"/>
      <x:c r="L350" s="25"/>
      <x:c r="M350" s="25"/>
      <x:c r="N350" s="25"/>
      <x:c r="O350" s="25"/>
      <x:c r="P350" s="25"/>
      <x:c r="Q350" s="25"/>
      <x:c r="R350" s="25"/>
      <x:c r="S350" s="25"/>
      <x:c r="T350" s="25"/>
      <x:c r="U350" s="25"/>
      <x:c r="V350" s="25"/>
      <x:c r="W350" s="25"/>
      <x:c r="X350" s="25"/>
      <x:c r="Y350" s="25"/>
      <x:c r="Z350" s="25"/>
    </x:row>
    <x:row r="351">
      <x:c r="A351" s="25"/>
      <x:c r="B351" s="25"/>
      <x:c r="C351" s="25"/>
      <x:c r="D351" s="25"/>
      <x:c r="E351" s="25"/>
      <x:c r="F351" s="25"/>
      <x:c r="G351" s="25"/>
      <x:c r="H351" s="25"/>
      <x:c r="I351" s="25"/>
      <x:c r="J351" s="25"/>
      <x:c r="K351" s="25"/>
      <x:c r="L351" s="25"/>
      <x:c r="M351" s="25"/>
      <x:c r="N351" s="25"/>
      <x:c r="O351" s="25"/>
      <x:c r="P351" s="25"/>
      <x:c r="Q351" s="25"/>
      <x:c r="R351" s="25"/>
      <x:c r="S351" s="25"/>
      <x:c r="T351" s="25"/>
      <x:c r="U351" s="25"/>
      <x:c r="V351" s="25"/>
      <x:c r="W351" s="25"/>
      <x:c r="X351" s="25"/>
      <x:c r="Y351" s="25"/>
      <x:c r="Z351" s="25"/>
    </x:row>
    <x:row r="352">
      <x:c r="A352" s="25"/>
      <x:c r="B352" s="25"/>
      <x:c r="C352" s="25"/>
      <x:c r="D352" s="25"/>
      <x:c r="E352" s="25"/>
      <x:c r="F352" s="25"/>
      <x:c r="G352" s="25"/>
      <x:c r="H352" s="25"/>
      <x:c r="I352" s="25"/>
      <x:c r="J352" s="25"/>
      <x:c r="K352" s="25"/>
      <x:c r="L352" s="25"/>
      <x:c r="M352" s="25"/>
      <x:c r="N352" s="25"/>
      <x:c r="O352" s="25"/>
      <x:c r="P352" s="25"/>
      <x:c r="Q352" s="25"/>
      <x:c r="R352" s="25"/>
      <x:c r="S352" s="25"/>
      <x:c r="T352" s="25"/>
      <x:c r="U352" s="25"/>
      <x:c r="V352" s="25"/>
      <x:c r="W352" s="25"/>
      <x:c r="X352" s="25"/>
      <x:c r="Y352" s="25"/>
      <x:c r="Z352" s="25"/>
    </x:row>
    <x:row r="353">
      <x:c r="A353" s="25"/>
      <x:c r="B353" s="25"/>
      <x:c r="C353" s="25"/>
      <x:c r="D353" s="25"/>
      <x:c r="E353" s="25"/>
      <x:c r="F353" s="25"/>
      <x:c r="G353" s="25"/>
      <x:c r="H353" s="25"/>
      <x:c r="I353" s="25"/>
      <x:c r="J353" s="25"/>
      <x:c r="K353" s="25"/>
      <x:c r="L353" s="25"/>
      <x:c r="M353" s="25"/>
      <x:c r="N353" s="25"/>
      <x:c r="O353" s="25"/>
      <x:c r="P353" s="25"/>
      <x:c r="Q353" s="25"/>
      <x:c r="R353" s="25"/>
      <x:c r="S353" s="25"/>
      <x:c r="T353" s="25"/>
      <x:c r="U353" s="25"/>
      <x:c r="V353" s="25"/>
      <x:c r="W353" s="25"/>
      <x:c r="X353" s="25"/>
      <x:c r="Y353" s="25"/>
      <x:c r="Z353" s="25"/>
    </x:row>
    <x:row r="354">
      <x:c r="A354" s="25"/>
      <x:c r="B354" s="25"/>
      <x:c r="C354" s="25"/>
      <x:c r="D354" s="25"/>
      <x:c r="E354" s="25"/>
      <x:c r="F354" s="25"/>
      <x:c r="G354" s="25"/>
      <x:c r="H354" s="25"/>
      <x:c r="I354" s="25"/>
      <x:c r="J354" s="25"/>
      <x:c r="K354" s="25"/>
      <x:c r="L354" s="25"/>
      <x:c r="M354" s="25"/>
      <x:c r="N354" s="25"/>
      <x:c r="O354" s="25"/>
      <x:c r="P354" s="25"/>
      <x:c r="Q354" s="25"/>
      <x:c r="R354" s="25"/>
      <x:c r="S354" s="25"/>
      <x:c r="T354" s="25"/>
      <x:c r="U354" s="25"/>
      <x:c r="V354" s="25"/>
      <x:c r="W354" s="25"/>
      <x:c r="X354" s="25"/>
      <x:c r="Y354" s="25"/>
      <x:c r="Z354" s="25"/>
    </x:row>
    <x:row r="355">
      <x:c r="A355" s="25"/>
      <x:c r="B355" s="25"/>
      <x:c r="C355" s="25"/>
      <x:c r="D355" s="25"/>
      <x:c r="E355" s="25"/>
      <x:c r="F355" s="25"/>
      <x:c r="G355" s="25"/>
      <x:c r="H355" s="25"/>
      <x:c r="I355" s="25"/>
      <x:c r="J355" s="25"/>
      <x:c r="K355" s="25"/>
      <x:c r="L355" s="25"/>
      <x:c r="M355" s="25"/>
      <x:c r="N355" s="25"/>
      <x:c r="O355" s="25"/>
      <x:c r="P355" s="25"/>
      <x:c r="Q355" s="25"/>
      <x:c r="R355" s="25"/>
      <x:c r="S355" s="25"/>
      <x:c r="T355" s="25"/>
      <x:c r="U355" s="25"/>
      <x:c r="V355" s="25"/>
      <x:c r="W355" s="25"/>
      <x:c r="X355" s="25"/>
      <x:c r="Y355" s="25"/>
      <x:c r="Z355" s="25"/>
    </x:row>
    <x:row r="356">
      <x:c r="A356" s="25"/>
      <x:c r="B356" s="25"/>
      <x:c r="C356" s="25"/>
      <x:c r="D356" s="25"/>
      <x:c r="E356" s="25"/>
      <x:c r="F356" s="25"/>
      <x:c r="G356" s="25"/>
      <x:c r="H356" s="25"/>
      <x:c r="I356" s="25"/>
      <x:c r="J356" s="25"/>
      <x:c r="K356" s="25"/>
      <x:c r="L356" s="25"/>
      <x:c r="M356" s="25"/>
      <x:c r="N356" s="25"/>
      <x:c r="O356" s="25"/>
      <x:c r="P356" s="25"/>
      <x:c r="Q356" s="25"/>
      <x:c r="R356" s="25"/>
      <x:c r="S356" s="25"/>
      <x:c r="T356" s="25"/>
      <x:c r="U356" s="25"/>
      <x:c r="V356" s="25"/>
      <x:c r="W356" s="25"/>
      <x:c r="X356" s="25"/>
      <x:c r="Y356" s="25"/>
      <x:c r="Z356" s="25"/>
    </x:row>
    <x:row r="357">
      <x:c r="A357" s="25"/>
      <x:c r="B357" s="25"/>
      <x:c r="C357" s="25"/>
      <x:c r="D357" s="25"/>
      <x:c r="E357" s="25"/>
      <x:c r="F357" s="25"/>
      <x:c r="G357" s="25"/>
      <x:c r="H357" s="25"/>
      <x:c r="I357" s="25"/>
      <x:c r="J357" s="25"/>
      <x:c r="K357" s="25"/>
      <x:c r="L357" s="25"/>
      <x:c r="M357" s="25"/>
      <x:c r="N357" s="25"/>
      <x:c r="O357" s="25"/>
      <x:c r="P357" s="25"/>
      <x:c r="Q357" s="25"/>
      <x:c r="R357" s="25"/>
      <x:c r="S357" s="25"/>
      <x:c r="T357" s="25"/>
      <x:c r="U357" s="25"/>
      <x:c r="V357" s="25"/>
      <x:c r="W357" s="25"/>
      <x:c r="X357" s="25"/>
      <x:c r="Y357" s="25"/>
      <x:c r="Z357" s="25"/>
    </x:row>
    <x:row r="358">
      <x:c r="A358" s="25"/>
      <x:c r="B358" s="25"/>
      <x:c r="C358" s="25"/>
      <x:c r="D358" s="25"/>
      <x:c r="E358" s="25"/>
      <x:c r="F358" s="25"/>
      <x:c r="G358" s="25"/>
      <x:c r="H358" s="25"/>
      <x:c r="I358" s="25"/>
      <x:c r="J358" s="25"/>
      <x:c r="K358" s="25"/>
      <x:c r="L358" s="25"/>
      <x:c r="M358" s="25"/>
      <x:c r="N358" s="25"/>
      <x:c r="O358" s="25"/>
      <x:c r="P358" s="25"/>
      <x:c r="Q358" s="25"/>
      <x:c r="R358" s="25"/>
      <x:c r="S358" s="25"/>
      <x:c r="T358" s="25"/>
      <x:c r="U358" s="25"/>
      <x:c r="V358" s="25"/>
      <x:c r="W358" s="25"/>
      <x:c r="X358" s="25"/>
      <x:c r="Y358" s="25"/>
      <x:c r="Z358" s="25"/>
    </x:row>
    <x:row r="359">
      <x:c r="A359" s="25"/>
      <x:c r="B359" s="25"/>
      <x:c r="C359" s="25"/>
      <x:c r="D359" s="25"/>
      <x:c r="E359" s="25"/>
      <x:c r="F359" s="25"/>
      <x:c r="G359" s="25"/>
      <x:c r="H359" s="25"/>
      <x:c r="I359" s="25"/>
      <x:c r="J359" s="25"/>
      <x:c r="K359" s="25"/>
      <x:c r="L359" s="25"/>
      <x:c r="M359" s="25"/>
      <x:c r="N359" s="25"/>
      <x:c r="O359" s="25"/>
      <x:c r="P359" s="25"/>
      <x:c r="Q359" s="25"/>
      <x:c r="R359" s="25"/>
      <x:c r="S359" s="25"/>
      <x:c r="T359" s="25"/>
      <x:c r="U359" s="25"/>
      <x:c r="V359" s="25"/>
      <x:c r="W359" s="25"/>
      <x:c r="X359" s="25"/>
      <x:c r="Y359" s="25"/>
      <x:c r="Z359" s="25"/>
    </x:row>
    <x:row r="360">
      <x:c r="A360" s="25"/>
      <x:c r="B360" s="25"/>
      <x:c r="C360" s="25"/>
      <x:c r="D360" s="25"/>
      <x:c r="E360" s="25"/>
      <x:c r="F360" s="25"/>
      <x:c r="G360" s="25"/>
      <x:c r="H360" s="25"/>
      <x:c r="I360" s="25"/>
      <x:c r="J360" s="25"/>
      <x:c r="K360" s="25"/>
      <x:c r="L360" s="25"/>
      <x:c r="M360" s="25"/>
      <x:c r="N360" s="25"/>
      <x:c r="O360" s="25"/>
      <x:c r="P360" s="25"/>
      <x:c r="Q360" s="25"/>
      <x:c r="R360" s="25"/>
      <x:c r="S360" s="25"/>
      <x:c r="T360" s="25"/>
      <x:c r="U360" s="25"/>
      <x:c r="V360" s="25"/>
      <x:c r="W360" s="25"/>
      <x:c r="X360" s="25"/>
      <x:c r="Y360" s="25"/>
      <x:c r="Z360" s="25"/>
    </x:row>
    <x:row r="361">
      <x:c r="A361" s="25"/>
      <x:c r="B361" s="25"/>
      <x:c r="C361" s="25"/>
      <x:c r="D361" s="25"/>
      <x:c r="E361" s="25"/>
      <x:c r="F361" s="25"/>
      <x:c r="G361" s="25"/>
      <x:c r="H361" s="25"/>
      <x:c r="I361" s="25"/>
      <x:c r="J361" s="25"/>
      <x:c r="K361" s="25"/>
      <x:c r="L361" s="25"/>
      <x:c r="M361" s="25"/>
      <x:c r="N361" s="25"/>
      <x:c r="O361" s="25"/>
      <x:c r="P361" s="25"/>
      <x:c r="Q361" s="25"/>
      <x:c r="R361" s="25"/>
      <x:c r="S361" s="25"/>
      <x:c r="T361" s="25"/>
      <x:c r="U361" s="25"/>
      <x:c r="V361" s="25"/>
      <x:c r="W361" s="25"/>
      <x:c r="X361" s="25"/>
      <x:c r="Y361" s="25"/>
      <x:c r="Z361" s="25"/>
    </x:row>
    <x:row r="362">
      <x:c r="A362" s="25"/>
      <x:c r="B362" s="25"/>
      <x:c r="C362" s="25"/>
      <x:c r="D362" s="25"/>
      <x:c r="E362" s="25"/>
      <x:c r="F362" s="25"/>
      <x:c r="G362" s="25"/>
      <x:c r="H362" s="25"/>
      <x:c r="I362" s="25"/>
      <x:c r="J362" s="25"/>
      <x:c r="K362" s="25"/>
      <x:c r="L362" s="25"/>
      <x:c r="M362" s="25"/>
      <x:c r="N362" s="25"/>
      <x:c r="O362" s="25"/>
      <x:c r="P362" s="25"/>
      <x:c r="Q362" s="25"/>
      <x:c r="R362" s="25"/>
      <x:c r="S362" s="25"/>
      <x:c r="T362" s="25"/>
      <x:c r="U362" s="25"/>
      <x:c r="V362" s="25"/>
      <x:c r="W362" s="25"/>
      <x:c r="X362" s="25"/>
      <x:c r="Y362" s="25"/>
      <x:c r="Z362" s="25"/>
    </x:row>
    <x:row r="363">
      <x:c r="A363" s="25"/>
      <x:c r="B363" s="25"/>
      <x:c r="C363" s="25"/>
      <x:c r="D363" s="25"/>
      <x:c r="E363" s="25"/>
      <x:c r="F363" s="25"/>
      <x:c r="G363" s="25"/>
      <x:c r="H363" s="25"/>
      <x:c r="I363" s="25"/>
      <x:c r="J363" s="25"/>
      <x:c r="K363" s="25"/>
      <x:c r="L363" s="25"/>
      <x:c r="M363" s="25"/>
      <x:c r="N363" s="25"/>
      <x:c r="O363" s="25"/>
      <x:c r="P363" s="25"/>
      <x:c r="Q363" s="25"/>
      <x:c r="R363" s="25"/>
      <x:c r="S363" s="25"/>
      <x:c r="T363" s="25"/>
      <x:c r="U363" s="25"/>
      <x:c r="V363" s="25"/>
      <x:c r="W363" s="25"/>
      <x:c r="X363" s="25"/>
      <x:c r="Y363" s="25"/>
      <x:c r="Z363" s="25"/>
    </x:row>
    <x:row r="364">
      <x:c r="A364" s="25"/>
      <x:c r="B364" s="25"/>
      <x:c r="C364" s="25"/>
      <x:c r="D364" s="25"/>
      <x:c r="E364" s="25"/>
      <x:c r="F364" s="25"/>
      <x:c r="G364" s="25"/>
      <x:c r="H364" s="25"/>
      <x:c r="I364" s="25"/>
      <x:c r="J364" s="25"/>
      <x:c r="K364" s="25"/>
      <x:c r="L364" s="25"/>
      <x:c r="M364" s="25"/>
      <x:c r="N364" s="25"/>
      <x:c r="O364" s="25"/>
      <x:c r="P364" s="25"/>
      <x:c r="Q364" s="25"/>
      <x:c r="R364" s="25"/>
      <x:c r="S364" s="25"/>
      <x:c r="T364" s="25"/>
      <x:c r="U364" s="25"/>
      <x:c r="V364" s="25"/>
      <x:c r="W364" s="25"/>
      <x:c r="X364" s="25"/>
      <x:c r="Y364" s="25"/>
      <x:c r="Z364" s="25"/>
    </x:row>
    <x:row r="365">
      <x:c r="A365" s="25"/>
      <x:c r="B365" s="25"/>
      <x:c r="C365" s="25"/>
      <x:c r="D365" s="25"/>
      <x:c r="E365" s="25"/>
      <x:c r="F365" s="25"/>
      <x:c r="G365" s="25"/>
      <x:c r="H365" s="25"/>
      <x:c r="I365" s="25"/>
      <x:c r="J365" s="25"/>
      <x:c r="K365" s="25"/>
      <x:c r="L365" s="25"/>
      <x:c r="M365" s="25"/>
      <x:c r="N365" s="25"/>
      <x:c r="O365" s="25"/>
      <x:c r="P365" s="25"/>
      <x:c r="Q365" s="25"/>
      <x:c r="R365" s="25"/>
      <x:c r="S365" s="25"/>
      <x:c r="T365" s="25"/>
      <x:c r="U365" s="25"/>
      <x:c r="V365" s="25"/>
      <x:c r="W365" s="25"/>
      <x:c r="X365" s="25"/>
      <x:c r="Y365" s="25"/>
      <x:c r="Z365" s="25"/>
    </x:row>
    <x:row r="366">
      <x:c r="A366" s="25"/>
      <x:c r="B366" s="25"/>
      <x:c r="C366" s="25"/>
      <x:c r="D366" s="25"/>
      <x:c r="E366" s="25"/>
      <x:c r="F366" s="25"/>
      <x:c r="G366" s="25"/>
      <x:c r="H366" s="25"/>
      <x:c r="I366" s="25"/>
      <x:c r="J366" s="25"/>
      <x:c r="K366" s="25"/>
      <x:c r="L366" s="25"/>
      <x:c r="M366" s="25"/>
      <x:c r="N366" s="25"/>
      <x:c r="O366" s="25"/>
      <x:c r="P366" s="25"/>
      <x:c r="Q366" s="25"/>
      <x:c r="R366" s="25"/>
      <x:c r="S366" s="25"/>
      <x:c r="T366" s="25"/>
      <x:c r="U366" s="25"/>
      <x:c r="V366" s="25"/>
      <x:c r="W366" s="25"/>
      <x:c r="X366" s="25"/>
      <x:c r="Y366" s="25"/>
      <x:c r="Z366" s="25"/>
    </x:row>
    <x:row r="367">
      <x:c r="A367" s="25"/>
      <x:c r="B367" s="25"/>
      <x:c r="C367" s="25"/>
      <x:c r="D367" s="25"/>
      <x:c r="E367" s="25"/>
      <x:c r="F367" s="25"/>
      <x:c r="G367" s="25"/>
      <x:c r="H367" s="25"/>
      <x:c r="I367" s="25"/>
      <x:c r="J367" s="25"/>
      <x:c r="K367" s="25"/>
      <x:c r="L367" s="25"/>
      <x:c r="M367" s="25"/>
      <x:c r="N367" s="25"/>
      <x:c r="O367" s="25"/>
      <x:c r="P367" s="25"/>
      <x:c r="Q367" s="25"/>
      <x:c r="R367" s="25"/>
      <x:c r="S367" s="25"/>
      <x:c r="T367" s="25"/>
      <x:c r="U367" s="25"/>
      <x:c r="V367" s="25"/>
      <x:c r="W367" s="25"/>
      <x:c r="X367" s="25"/>
      <x:c r="Y367" s="25"/>
      <x:c r="Z367" s="25"/>
    </x:row>
    <x:row r="368">
      <x:c r="A368" s="25"/>
      <x:c r="B368" s="25"/>
      <x:c r="C368" s="25"/>
      <x:c r="D368" s="25"/>
      <x:c r="E368" s="25"/>
      <x:c r="F368" s="25"/>
      <x:c r="G368" s="25"/>
      <x:c r="H368" s="25"/>
      <x:c r="I368" s="25"/>
      <x:c r="J368" s="25"/>
      <x:c r="K368" s="25"/>
      <x:c r="L368" s="25"/>
      <x:c r="M368" s="25"/>
      <x:c r="N368" s="25"/>
      <x:c r="O368" s="25"/>
      <x:c r="P368" s="25"/>
      <x:c r="Q368" s="25"/>
      <x:c r="R368" s="25"/>
      <x:c r="S368" s="25"/>
      <x:c r="T368" s="25"/>
      <x:c r="U368" s="25"/>
      <x:c r="V368" s="25"/>
      <x:c r="W368" s="25"/>
      <x:c r="X368" s="25"/>
      <x:c r="Y368" s="25"/>
      <x:c r="Z368" s="25"/>
    </x:row>
    <x:row r="369">
      <x:c r="A369" s="25"/>
      <x:c r="B369" s="25"/>
      <x:c r="C369" s="25"/>
      <x:c r="D369" s="25"/>
      <x:c r="E369" s="25"/>
      <x:c r="F369" s="25"/>
      <x:c r="G369" s="25"/>
      <x:c r="H369" s="25"/>
      <x:c r="I369" s="25"/>
      <x:c r="J369" s="25"/>
      <x:c r="K369" s="25"/>
      <x:c r="L369" s="25"/>
      <x:c r="M369" s="25"/>
      <x:c r="N369" s="25"/>
      <x:c r="O369" s="25"/>
      <x:c r="P369" s="25"/>
      <x:c r="Q369" s="25"/>
      <x:c r="R369" s="25"/>
      <x:c r="S369" s="25"/>
      <x:c r="T369" s="25"/>
      <x:c r="U369" s="25"/>
      <x:c r="V369" s="25"/>
      <x:c r="W369" s="25"/>
      <x:c r="X369" s="25"/>
      <x:c r="Y369" s="25"/>
      <x:c r="Z369" s="25"/>
    </x:row>
    <x:row r="370">
      <x:c r="A370" s="25"/>
      <x:c r="B370" s="25"/>
      <x:c r="C370" s="25"/>
      <x:c r="D370" s="25"/>
      <x:c r="E370" s="25"/>
      <x:c r="F370" s="25"/>
      <x:c r="G370" s="25"/>
      <x:c r="H370" s="25"/>
      <x:c r="I370" s="25"/>
      <x:c r="J370" s="25"/>
      <x:c r="K370" s="25"/>
      <x:c r="L370" s="25"/>
      <x:c r="M370" s="25"/>
      <x:c r="N370" s="25"/>
      <x:c r="O370" s="25"/>
      <x:c r="P370" s="25"/>
      <x:c r="Q370" s="25"/>
      <x:c r="R370" s="25"/>
      <x:c r="S370" s="25"/>
      <x:c r="T370" s="25"/>
      <x:c r="U370" s="25"/>
      <x:c r="V370" s="25"/>
      <x:c r="W370" s="25"/>
      <x:c r="X370" s="25"/>
      <x:c r="Y370" s="25"/>
      <x:c r="Z370" s="25"/>
    </x:row>
    <x:row r="371">
      <x:c r="A371" s="25"/>
      <x:c r="B371" s="25"/>
      <x:c r="C371" s="25"/>
      <x:c r="D371" s="25"/>
      <x:c r="E371" s="25"/>
      <x:c r="F371" s="25"/>
      <x:c r="G371" s="25"/>
      <x:c r="H371" s="25"/>
      <x:c r="I371" s="25"/>
      <x:c r="J371" s="25"/>
      <x:c r="K371" s="25"/>
      <x:c r="L371" s="25"/>
      <x:c r="M371" s="25"/>
      <x:c r="N371" s="25"/>
      <x:c r="O371" s="25"/>
      <x:c r="P371" s="25"/>
      <x:c r="Q371" s="25"/>
      <x:c r="R371" s="25"/>
      <x:c r="S371" s="25"/>
      <x:c r="T371" s="25"/>
      <x:c r="U371" s="25"/>
      <x:c r="V371" s="25"/>
      <x:c r="W371" s="25"/>
      <x:c r="X371" s="25"/>
      <x:c r="Y371" s="25"/>
      <x:c r="Z371" s="25"/>
    </x:row>
    <x:row r="372">
      <x:c r="A372" s="25"/>
      <x:c r="B372" s="25"/>
      <x:c r="C372" s="25"/>
      <x:c r="D372" s="25"/>
      <x:c r="E372" s="25"/>
      <x:c r="F372" s="25"/>
      <x:c r="G372" s="25"/>
      <x:c r="H372" s="25"/>
      <x:c r="I372" s="25"/>
      <x:c r="J372" s="25"/>
      <x:c r="K372" s="25"/>
      <x:c r="L372" s="25"/>
      <x:c r="M372" s="25"/>
      <x:c r="N372" s="25"/>
      <x:c r="O372" s="25"/>
      <x:c r="P372" s="25"/>
      <x:c r="Q372" s="25"/>
      <x:c r="R372" s="25"/>
      <x:c r="S372" s="25"/>
      <x:c r="T372" s="25"/>
      <x:c r="U372" s="25"/>
      <x:c r="V372" s="25"/>
      <x:c r="W372" s="25"/>
      <x:c r="X372" s="25"/>
      <x:c r="Y372" s="25"/>
      <x:c r="Z372" s="25"/>
    </x:row>
    <x:row r="373">
      <x:c r="A373" s="25"/>
      <x:c r="B373" s="25"/>
      <x:c r="C373" s="25"/>
      <x:c r="D373" s="25"/>
      <x:c r="E373" s="25"/>
      <x:c r="F373" s="25"/>
      <x:c r="G373" s="25"/>
      <x:c r="H373" s="25"/>
      <x:c r="I373" s="25"/>
      <x:c r="J373" s="25"/>
      <x:c r="K373" s="25"/>
      <x:c r="L373" s="25"/>
      <x:c r="M373" s="25"/>
      <x:c r="N373" s="25"/>
      <x:c r="O373" s="25"/>
      <x:c r="P373" s="25"/>
      <x:c r="Q373" s="25"/>
      <x:c r="R373" s="25"/>
      <x:c r="S373" s="25"/>
      <x:c r="T373" s="25"/>
      <x:c r="U373" s="25"/>
      <x:c r="V373" s="25"/>
      <x:c r="W373" s="25"/>
      <x:c r="X373" s="25"/>
      <x:c r="Y373" s="25"/>
      <x:c r="Z373" s="25"/>
    </x:row>
    <x:row r="374">
      <x:c r="A374" s="25"/>
      <x:c r="B374" s="25"/>
      <x:c r="C374" s="25"/>
      <x:c r="D374" s="25"/>
      <x:c r="E374" s="25"/>
      <x:c r="F374" s="25"/>
      <x:c r="G374" s="25"/>
      <x:c r="H374" s="25"/>
      <x:c r="I374" s="25"/>
      <x:c r="J374" s="25"/>
      <x:c r="K374" s="25"/>
      <x:c r="L374" s="25"/>
      <x:c r="M374" s="25"/>
      <x:c r="N374" s="25"/>
      <x:c r="O374" s="25"/>
      <x:c r="P374" s="25"/>
      <x:c r="Q374" s="25"/>
      <x:c r="R374" s="25"/>
      <x:c r="S374" s="25"/>
      <x:c r="T374" s="25"/>
      <x:c r="U374" s="25"/>
      <x:c r="V374" s="25"/>
      <x:c r="W374" s="25"/>
      <x:c r="X374" s="25"/>
      <x:c r="Y374" s="25"/>
      <x:c r="Z374" s="25"/>
    </x:row>
    <x:row r="375">
      <x:c r="A375" s="25"/>
      <x:c r="B375" s="25"/>
      <x:c r="C375" s="25"/>
      <x:c r="D375" s="25"/>
      <x:c r="E375" s="25"/>
      <x:c r="F375" s="25"/>
      <x:c r="G375" s="25"/>
      <x:c r="H375" s="25"/>
      <x:c r="I375" s="25"/>
      <x:c r="J375" s="25"/>
      <x:c r="K375" s="25"/>
      <x:c r="L375" s="25"/>
      <x:c r="M375" s="25"/>
      <x:c r="N375" s="25"/>
      <x:c r="O375" s="25"/>
      <x:c r="P375" s="25"/>
      <x:c r="Q375" s="25"/>
      <x:c r="R375" s="25"/>
      <x:c r="S375" s="25"/>
      <x:c r="T375" s="25"/>
      <x:c r="U375" s="25"/>
      <x:c r="V375" s="25"/>
      <x:c r="W375" s="25"/>
      <x:c r="X375" s="25"/>
      <x:c r="Y375" s="25"/>
      <x:c r="Z375" s="25"/>
    </x:row>
    <x:row r="376">
      <x:c r="A376" s="25"/>
      <x:c r="B376" s="25"/>
      <x:c r="C376" s="25"/>
      <x:c r="D376" s="25"/>
      <x:c r="E376" s="25"/>
      <x:c r="F376" s="25"/>
      <x:c r="G376" s="25"/>
      <x:c r="H376" s="25"/>
      <x:c r="I376" s="25"/>
      <x:c r="J376" s="25"/>
      <x:c r="K376" s="25"/>
      <x:c r="L376" s="25"/>
      <x:c r="M376" s="25"/>
      <x:c r="N376" s="25"/>
      <x:c r="O376" s="25"/>
      <x:c r="P376" s="25"/>
      <x:c r="Q376" s="25"/>
      <x:c r="R376" s="25"/>
      <x:c r="S376" s="25"/>
      <x:c r="T376" s="25"/>
      <x:c r="U376" s="25"/>
      <x:c r="V376" s="25"/>
      <x:c r="W376" s="25"/>
      <x:c r="X376" s="25"/>
      <x:c r="Y376" s="25"/>
      <x:c r="Z376" s="25"/>
    </x:row>
    <x:row r="377">
      <x:c r="A377" s="25"/>
      <x:c r="B377" s="25"/>
      <x:c r="C377" s="25"/>
      <x:c r="D377" s="25"/>
      <x:c r="E377" s="25"/>
      <x:c r="F377" s="25"/>
      <x:c r="G377" s="25"/>
      <x:c r="H377" s="25"/>
      <x:c r="I377" s="25"/>
      <x:c r="J377" s="25"/>
      <x:c r="K377" s="25"/>
      <x:c r="L377" s="25"/>
      <x:c r="M377" s="25"/>
      <x:c r="N377" s="25"/>
      <x:c r="O377" s="25"/>
      <x:c r="P377" s="25"/>
      <x:c r="Q377" s="25"/>
      <x:c r="R377" s="25"/>
      <x:c r="S377" s="25"/>
      <x:c r="T377" s="25"/>
      <x:c r="U377" s="25"/>
      <x:c r="V377" s="25"/>
      <x:c r="W377" s="25"/>
      <x:c r="X377" s="25"/>
      <x:c r="Y377" s="25"/>
      <x:c r="Z377" s="25"/>
    </x:row>
    <x:row r="378">
      <x:c r="A378" s="25"/>
      <x:c r="B378" s="25"/>
      <x:c r="C378" s="25"/>
      <x:c r="D378" s="25"/>
      <x:c r="E378" s="25"/>
      <x:c r="F378" s="25"/>
      <x:c r="G378" s="25"/>
      <x:c r="H378" s="25"/>
      <x:c r="I378" s="25"/>
      <x:c r="J378" s="25"/>
      <x:c r="K378" s="25"/>
      <x:c r="L378" s="25"/>
      <x:c r="M378" s="25"/>
      <x:c r="N378" s="25"/>
      <x:c r="O378" s="25"/>
      <x:c r="P378" s="25"/>
      <x:c r="Q378" s="25"/>
      <x:c r="R378" s="25"/>
      <x:c r="S378" s="25"/>
      <x:c r="T378" s="25"/>
      <x:c r="U378" s="25"/>
      <x:c r="V378" s="25"/>
      <x:c r="W378" s="25"/>
      <x:c r="X378" s="25"/>
      <x:c r="Y378" s="25"/>
      <x:c r="Z378" s="25"/>
    </x:row>
    <x:row r="379">
      <x:c r="A379" s="25"/>
      <x:c r="B379" s="25"/>
      <x:c r="C379" s="25"/>
      <x:c r="D379" s="25"/>
      <x:c r="E379" s="25"/>
      <x:c r="F379" s="25"/>
      <x:c r="G379" s="25"/>
      <x:c r="H379" s="25"/>
      <x:c r="I379" s="25"/>
      <x:c r="J379" s="25"/>
      <x:c r="K379" s="25"/>
      <x:c r="L379" s="25"/>
      <x:c r="M379" s="25"/>
      <x:c r="N379" s="25"/>
      <x:c r="O379" s="25"/>
      <x:c r="P379" s="25"/>
      <x:c r="Q379" s="25"/>
      <x:c r="R379" s="25"/>
      <x:c r="S379" s="25"/>
      <x:c r="T379" s="25"/>
      <x:c r="U379" s="25"/>
      <x:c r="V379" s="25"/>
      <x:c r="W379" s="25"/>
      <x:c r="X379" s="25"/>
      <x:c r="Y379" s="25"/>
      <x:c r="Z379" s="25"/>
    </x:row>
    <x:row r="380">
      <x:c r="A380" s="25"/>
      <x:c r="B380" s="25"/>
      <x:c r="C380" s="25"/>
      <x:c r="D380" s="25"/>
      <x:c r="E380" s="25"/>
      <x:c r="F380" s="25"/>
      <x:c r="G380" s="25"/>
      <x:c r="H380" s="25"/>
      <x:c r="I380" s="25"/>
      <x:c r="J380" s="25"/>
      <x:c r="K380" s="25"/>
      <x:c r="L380" s="25"/>
      <x:c r="M380" s="25"/>
      <x:c r="N380" s="25"/>
      <x:c r="O380" s="25"/>
      <x:c r="P380" s="25"/>
      <x:c r="Q380" s="25"/>
      <x:c r="R380" s="25"/>
      <x:c r="S380" s="25"/>
      <x:c r="T380" s="25"/>
      <x:c r="U380" s="25"/>
      <x:c r="V380" s="25"/>
      <x:c r="W380" s="25"/>
      <x:c r="X380" s="25"/>
      <x:c r="Y380" s="25"/>
      <x:c r="Z380" s="25"/>
    </x:row>
    <x:row r="381">
      <x:c r="A381" s="25"/>
      <x:c r="B381" s="25"/>
      <x:c r="C381" s="25"/>
      <x:c r="D381" s="25"/>
      <x:c r="E381" s="25"/>
      <x:c r="F381" s="25"/>
      <x:c r="G381" s="25"/>
      <x:c r="H381" s="25"/>
      <x:c r="I381" s="25"/>
      <x:c r="J381" s="25"/>
      <x:c r="K381" s="25"/>
      <x:c r="L381" s="25"/>
      <x:c r="M381" s="25"/>
      <x:c r="N381" s="25"/>
      <x:c r="O381" s="25"/>
      <x:c r="P381" s="25"/>
      <x:c r="Q381" s="25"/>
      <x:c r="R381" s="25"/>
      <x:c r="S381" s="25"/>
      <x:c r="T381" s="25"/>
      <x:c r="U381" s="25"/>
      <x:c r="V381" s="25"/>
      <x:c r="W381" s="25"/>
      <x:c r="X381" s="25"/>
      <x:c r="Y381" s="25"/>
      <x:c r="Z381" s="25"/>
    </x:row>
    <x:row r="382">
      <x:c r="A382" s="25"/>
      <x:c r="B382" s="25"/>
      <x:c r="C382" s="25"/>
      <x:c r="D382" s="25"/>
      <x:c r="E382" s="25"/>
      <x:c r="F382" s="25"/>
      <x:c r="G382" s="25"/>
      <x:c r="H382" s="25"/>
      <x:c r="I382" s="25"/>
      <x:c r="J382" s="25"/>
      <x:c r="K382" s="25"/>
      <x:c r="L382" s="25"/>
      <x:c r="M382" s="25"/>
      <x:c r="N382" s="25"/>
      <x:c r="O382" s="25"/>
      <x:c r="P382" s="25"/>
      <x:c r="Q382" s="25"/>
      <x:c r="R382" s="25"/>
      <x:c r="S382" s="25"/>
      <x:c r="T382" s="25"/>
      <x:c r="U382" s="25"/>
      <x:c r="V382" s="25"/>
      <x:c r="W382" s="25"/>
      <x:c r="X382" s="25"/>
      <x:c r="Y382" s="25"/>
      <x:c r="Z382" s="25"/>
    </x:row>
    <x:row r="383">
      <x:c r="A383" s="25"/>
      <x:c r="B383" s="25"/>
      <x:c r="C383" s="25"/>
      <x:c r="D383" s="25"/>
      <x:c r="E383" s="25"/>
      <x:c r="F383" s="25"/>
      <x:c r="G383" s="25"/>
      <x:c r="H383" s="25"/>
      <x:c r="I383" s="25"/>
      <x:c r="J383" s="25"/>
      <x:c r="K383" s="25"/>
      <x:c r="L383" s="25"/>
      <x:c r="M383" s="25"/>
      <x:c r="N383" s="25"/>
      <x:c r="O383" s="25"/>
      <x:c r="P383" s="25"/>
      <x:c r="Q383" s="25"/>
      <x:c r="R383" s="25"/>
      <x:c r="S383" s="25"/>
      <x:c r="T383" s="25"/>
      <x:c r="U383" s="25"/>
      <x:c r="V383" s="25"/>
      <x:c r="W383" s="25"/>
      <x:c r="X383" s="25"/>
      <x:c r="Y383" s="25"/>
      <x:c r="Z383" s="25"/>
    </x:row>
    <x:row r="384">
      <x:c r="A384" s="25"/>
      <x:c r="B384" s="25"/>
      <x:c r="C384" s="25"/>
      <x:c r="D384" s="25"/>
      <x:c r="E384" s="25"/>
      <x:c r="F384" s="25"/>
      <x:c r="G384" s="25"/>
      <x:c r="H384" s="25"/>
      <x:c r="I384" s="25"/>
      <x:c r="J384" s="25"/>
      <x:c r="K384" s="25"/>
      <x:c r="L384" s="25"/>
      <x:c r="M384" s="25"/>
      <x:c r="N384" s="25"/>
      <x:c r="O384" s="25"/>
      <x:c r="P384" s="25"/>
      <x:c r="Q384" s="25"/>
      <x:c r="R384" s="25"/>
      <x:c r="S384" s="25"/>
      <x:c r="T384" s="25"/>
      <x:c r="U384" s="25"/>
      <x:c r="V384" s="25"/>
      <x:c r="W384" s="25"/>
      <x:c r="X384" s="25"/>
      <x:c r="Y384" s="25"/>
      <x:c r="Z384" s="25"/>
    </x:row>
    <x:row r="385">
      <x:c r="A385" s="25"/>
      <x:c r="B385" s="25"/>
      <x:c r="C385" s="25"/>
      <x:c r="D385" s="25"/>
      <x:c r="E385" s="25"/>
      <x:c r="F385" s="25"/>
      <x:c r="G385" s="25"/>
      <x:c r="H385" s="25"/>
      <x:c r="I385" s="25"/>
      <x:c r="J385" s="25"/>
      <x:c r="K385" s="25"/>
      <x:c r="L385" s="25"/>
      <x:c r="M385" s="25"/>
      <x:c r="N385" s="25"/>
      <x:c r="O385" s="25"/>
      <x:c r="P385" s="25"/>
      <x:c r="Q385" s="25"/>
      <x:c r="R385" s="25"/>
      <x:c r="S385" s="25"/>
      <x:c r="T385" s="25"/>
      <x:c r="U385" s="25"/>
      <x:c r="V385" s="25"/>
      <x:c r="W385" s="25"/>
      <x:c r="X385" s="25"/>
      <x:c r="Y385" s="25"/>
      <x:c r="Z385" s="25"/>
    </x:row>
    <x:row r="386">
      <x:c r="A386" s="25"/>
      <x:c r="B386" s="25"/>
      <x:c r="C386" s="25"/>
      <x:c r="D386" s="25"/>
      <x:c r="E386" s="25"/>
      <x:c r="F386" s="25"/>
      <x:c r="G386" s="25"/>
      <x:c r="H386" s="25"/>
      <x:c r="I386" s="25"/>
      <x:c r="J386" s="25"/>
      <x:c r="K386" s="25"/>
      <x:c r="L386" s="25"/>
      <x:c r="M386" s="25"/>
      <x:c r="N386" s="25"/>
      <x:c r="O386" s="25"/>
      <x:c r="P386" s="25"/>
      <x:c r="Q386" s="25"/>
      <x:c r="R386" s="25"/>
      <x:c r="S386" s="25"/>
      <x:c r="T386" s="25"/>
      <x:c r="U386" s="25"/>
      <x:c r="V386" s="25"/>
      <x:c r="W386" s="25"/>
      <x:c r="X386" s="25"/>
      <x:c r="Y386" s="25"/>
      <x:c r="Z386" s="25"/>
    </x:row>
    <x:row r="387">
      <x:c r="A387" s="25"/>
      <x:c r="B387" s="25"/>
      <x:c r="C387" s="25"/>
      <x:c r="D387" s="25"/>
      <x:c r="E387" s="25"/>
      <x:c r="F387" s="25"/>
      <x:c r="G387" s="25"/>
      <x:c r="H387" s="25"/>
      <x:c r="I387" s="25"/>
      <x:c r="J387" s="25"/>
      <x:c r="K387" s="25"/>
      <x:c r="L387" s="25"/>
      <x:c r="M387" s="25"/>
      <x:c r="N387" s="25"/>
      <x:c r="O387" s="25"/>
      <x:c r="P387" s="25"/>
      <x:c r="Q387" s="25"/>
      <x:c r="R387" s="25"/>
      <x:c r="S387" s="25"/>
      <x:c r="T387" s="25"/>
      <x:c r="U387" s="25"/>
      <x:c r="V387" s="25"/>
      <x:c r="W387" s="25"/>
      <x:c r="X387" s="25"/>
      <x:c r="Y387" s="25"/>
      <x:c r="Z387" s="25"/>
    </x:row>
    <x:row r="388">
      <x:c r="A388" s="25"/>
      <x:c r="B388" s="25"/>
      <x:c r="C388" s="25"/>
      <x:c r="D388" s="25"/>
      <x:c r="E388" s="25"/>
      <x:c r="F388" s="25"/>
      <x:c r="G388" s="25"/>
      <x:c r="H388" s="25"/>
      <x:c r="I388" s="25"/>
      <x:c r="J388" s="25"/>
      <x:c r="K388" s="25"/>
      <x:c r="L388" s="25"/>
      <x:c r="M388" s="25"/>
      <x:c r="N388" s="25"/>
      <x:c r="O388" s="25"/>
      <x:c r="P388" s="25"/>
      <x:c r="Q388" s="25"/>
      <x:c r="R388" s="25"/>
      <x:c r="S388" s="25"/>
      <x:c r="T388" s="25"/>
      <x:c r="U388" s="25"/>
      <x:c r="V388" s="25"/>
      <x:c r="W388" s="25"/>
      <x:c r="X388" s="25"/>
      <x:c r="Y388" s="25"/>
      <x:c r="Z388" s="25"/>
    </x:row>
    <x:row r="389">
      <x:c r="A389" s="25"/>
      <x:c r="B389" s="25"/>
      <x:c r="C389" s="25"/>
      <x:c r="D389" s="25"/>
      <x:c r="E389" s="25"/>
      <x:c r="F389" s="25"/>
      <x:c r="G389" s="25"/>
      <x:c r="H389" s="25"/>
      <x:c r="I389" s="25"/>
      <x:c r="J389" s="25"/>
      <x:c r="K389" s="25"/>
      <x:c r="L389" s="25"/>
      <x:c r="M389" s="25"/>
      <x:c r="N389" s="25"/>
      <x:c r="O389" s="25"/>
      <x:c r="P389" s="25"/>
      <x:c r="Q389" s="25"/>
      <x:c r="R389" s="25"/>
      <x:c r="S389" s="25"/>
      <x:c r="T389" s="25"/>
      <x:c r="U389" s="25"/>
      <x:c r="V389" s="25"/>
      <x:c r="W389" s="25"/>
      <x:c r="X389" s="25"/>
      <x:c r="Y389" s="25"/>
      <x:c r="Z389" s="25"/>
    </x:row>
    <x:row r="390">
      <x:c r="A390" s="25"/>
      <x:c r="B390" s="25"/>
      <x:c r="C390" s="25"/>
      <x:c r="D390" s="25"/>
      <x:c r="E390" s="25"/>
      <x:c r="F390" s="25"/>
      <x:c r="G390" s="25"/>
      <x:c r="H390" s="25"/>
      <x:c r="I390" s="25"/>
      <x:c r="J390" s="25"/>
      <x:c r="K390" s="25"/>
      <x:c r="L390" s="25"/>
      <x:c r="M390" s="25"/>
      <x:c r="N390" s="25"/>
      <x:c r="O390" s="25"/>
      <x:c r="P390" s="25"/>
      <x:c r="Q390" s="25"/>
      <x:c r="R390" s="25"/>
      <x:c r="S390" s="25"/>
      <x:c r="T390" s="25"/>
      <x:c r="U390" s="25"/>
      <x:c r="V390" s="25"/>
      <x:c r="W390" s="25"/>
      <x:c r="X390" s="25"/>
      <x:c r="Y390" s="25"/>
      <x:c r="Z390" s="25"/>
    </x:row>
    <x:row r="391">
      <x:c r="A391" s="25"/>
      <x:c r="B391" s="25"/>
      <x:c r="C391" s="25"/>
      <x:c r="D391" s="25"/>
      <x:c r="E391" s="25"/>
      <x:c r="F391" s="25"/>
      <x:c r="G391" s="25"/>
      <x:c r="H391" s="25"/>
      <x:c r="I391" s="25"/>
      <x:c r="J391" s="25"/>
      <x:c r="K391" s="25"/>
      <x:c r="L391" s="25"/>
      <x:c r="M391" s="25"/>
      <x:c r="N391" s="25"/>
      <x:c r="O391" s="25"/>
      <x:c r="P391" s="25"/>
      <x:c r="Q391" s="25"/>
      <x:c r="R391" s="25"/>
      <x:c r="S391" s="25"/>
      <x:c r="T391" s="25"/>
      <x:c r="U391" s="25"/>
      <x:c r="V391" s="25"/>
      <x:c r="W391" s="25"/>
      <x:c r="X391" s="25"/>
      <x:c r="Y391" s="25"/>
      <x:c r="Z391" s="25"/>
    </x:row>
    <x:row r="392">
      <x:c r="A392" s="25"/>
      <x:c r="B392" s="25"/>
      <x:c r="C392" s="25"/>
      <x:c r="D392" s="25"/>
      <x:c r="E392" s="25"/>
      <x:c r="F392" s="25"/>
      <x:c r="G392" s="25"/>
      <x:c r="H392" s="25"/>
      <x:c r="I392" s="25"/>
      <x:c r="J392" s="25"/>
      <x:c r="K392" s="25"/>
      <x:c r="L392" s="25"/>
      <x:c r="M392" s="25"/>
      <x:c r="N392" s="25"/>
      <x:c r="O392" s="25"/>
      <x:c r="P392" s="25"/>
      <x:c r="Q392" s="25"/>
      <x:c r="R392" s="25"/>
      <x:c r="S392" s="25"/>
      <x:c r="T392" s="25"/>
      <x:c r="U392" s="25"/>
      <x:c r="V392" s="25"/>
      <x:c r="W392" s="25"/>
      <x:c r="X392" s="25"/>
      <x:c r="Y392" s="25"/>
      <x:c r="Z392" s="25"/>
    </x:row>
    <x:row r="393">
      <x:c r="A393" s="25"/>
      <x:c r="B393" s="25"/>
      <x:c r="C393" s="25"/>
      <x:c r="D393" s="25"/>
      <x:c r="E393" s="25"/>
      <x:c r="F393" s="25"/>
      <x:c r="G393" s="25"/>
      <x:c r="H393" s="25"/>
      <x:c r="I393" s="25"/>
      <x:c r="J393" s="25"/>
      <x:c r="K393" s="25"/>
      <x:c r="L393" s="25"/>
      <x:c r="M393" s="25"/>
      <x:c r="N393" s="25"/>
      <x:c r="O393" s="25"/>
      <x:c r="P393" s="25"/>
      <x:c r="Q393" s="25"/>
      <x:c r="R393" s="25"/>
      <x:c r="S393" s="25"/>
      <x:c r="T393" s="25"/>
      <x:c r="U393" s="25"/>
      <x:c r="V393" s="25"/>
      <x:c r="W393" s="25"/>
      <x:c r="X393" s="25"/>
      <x:c r="Y393" s="25"/>
      <x:c r="Z393" s="25"/>
    </x:row>
    <x:row r="394">
      <x:c r="A394" s="25"/>
      <x:c r="B394" s="25"/>
      <x:c r="C394" s="25"/>
      <x:c r="D394" s="25"/>
      <x:c r="E394" s="25"/>
      <x:c r="F394" s="25"/>
      <x:c r="G394" s="25"/>
      <x:c r="H394" s="25"/>
      <x:c r="I394" s="25"/>
      <x:c r="J394" s="25"/>
      <x:c r="K394" s="25"/>
      <x:c r="L394" s="25"/>
      <x:c r="M394" s="25"/>
      <x:c r="N394" s="25"/>
      <x:c r="O394" s="25"/>
      <x:c r="P394" s="25"/>
      <x:c r="Q394" s="25"/>
      <x:c r="R394" s="25"/>
      <x:c r="S394" s="25"/>
      <x:c r="T394" s="25"/>
      <x:c r="U394" s="25"/>
      <x:c r="V394" s="25"/>
      <x:c r="W394" s="25"/>
      <x:c r="X394" s="25"/>
      <x:c r="Y394" s="25"/>
      <x:c r="Z394" s="25"/>
    </x:row>
    <x:row r="395">
      <x:c r="A395" s="25"/>
      <x:c r="B395" s="25"/>
      <x:c r="C395" s="25"/>
      <x:c r="D395" s="25"/>
      <x:c r="E395" s="25"/>
      <x:c r="F395" s="25"/>
      <x:c r="G395" s="25"/>
      <x:c r="H395" s="25"/>
      <x:c r="I395" s="25"/>
      <x:c r="J395" s="25"/>
      <x:c r="K395" s="25"/>
      <x:c r="L395" s="25"/>
      <x:c r="M395" s="25"/>
      <x:c r="N395" s="25"/>
      <x:c r="O395" s="25"/>
      <x:c r="P395" s="25"/>
      <x:c r="Q395" s="25"/>
      <x:c r="R395" s="25"/>
      <x:c r="S395" s="25"/>
      <x:c r="T395" s="25"/>
      <x:c r="U395" s="25"/>
      <x:c r="V395" s="25"/>
      <x:c r="W395" s="25"/>
      <x:c r="X395" s="25"/>
      <x:c r="Y395" s="25"/>
      <x:c r="Z395" s="25"/>
    </x:row>
    <x:row r="396">
      <x:c r="A396" s="25"/>
      <x:c r="B396" s="25"/>
      <x:c r="C396" s="25"/>
      <x:c r="D396" s="25"/>
      <x:c r="E396" s="25"/>
      <x:c r="F396" s="25"/>
      <x:c r="G396" s="25"/>
      <x:c r="H396" s="25"/>
      <x:c r="I396" s="25"/>
      <x:c r="J396" s="25"/>
      <x:c r="K396" s="25"/>
      <x:c r="L396" s="25"/>
      <x:c r="M396" s="25"/>
      <x:c r="N396" s="25"/>
      <x:c r="O396" s="25"/>
      <x:c r="P396" s="25"/>
      <x:c r="Q396" s="25"/>
      <x:c r="R396" s="25"/>
      <x:c r="S396" s="25"/>
      <x:c r="T396" s="25"/>
      <x:c r="U396" s="25"/>
      <x:c r="V396" s="25"/>
      <x:c r="W396" s="25"/>
      <x:c r="X396" s="25"/>
      <x:c r="Y396" s="25"/>
      <x:c r="Z396" s="25"/>
    </x:row>
    <x:row r="397">
      <x:c r="A397" s="25"/>
      <x:c r="B397" s="25"/>
      <x:c r="C397" s="25"/>
      <x:c r="D397" s="25"/>
      <x:c r="E397" s="25"/>
      <x:c r="F397" s="25"/>
      <x:c r="G397" s="25"/>
      <x:c r="H397" s="25"/>
      <x:c r="I397" s="25"/>
      <x:c r="J397" s="25"/>
      <x:c r="K397" s="25"/>
      <x:c r="L397" s="25"/>
      <x:c r="M397" s="25"/>
      <x:c r="N397" s="25"/>
      <x:c r="O397" s="25"/>
      <x:c r="P397" s="25"/>
      <x:c r="Q397" s="25"/>
      <x:c r="R397" s="25"/>
      <x:c r="S397" s="25"/>
      <x:c r="T397" s="25"/>
      <x:c r="U397" s="25"/>
      <x:c r="V397" s="25"/>
      <x:c r="W397" s="25"/>
      <x:c r="X397" s="25"/>
      <x:c r="Y397" s="25"/>
      <x:c r="Z397" s="25"/>
    </x:row>
    <x:row r="398">
      <x:c r="A398" s="25"/>
      <x:c r="B398" s="25"/>
      <x:c r="C398" s="25"/>
      <x:c r="D398" s="25"/>
      <x:c r="E398" s="25"/>
      <x:c r="F398" s="25"/>
      <x:c r="G398" s="25"/>
      <x:c r="H398" s="25"/>
      <x:c r="I398" s="25"/>
      <x:c r="J398" s="25"/>
      <x:c r="K398" s="25"/>
      <x:c r="L398" s="25"/>
      <x:c r="M398" s="25"/>
      <x:c r="N398" s="25"/>
      <x:c r="O398" s="25"/>
      <x:c r="P398" s="25"/>
      <x:c r="Q398" s="25"/>
      <x:c r="R398" s="25"/>
      <x:c r="S398" s="25"/>
      <x:c r="T398" s="25"/>
      <x:c r="U398" s="25"/>
      <x:c r="V398" s="25"/>
      <x:c r="W398" s="25"/>
      <x:c r="X398" s="25"/>
      <x:c r="Y398" s="25"/>
      <x:c r="Z398" s="25"/>
    </x:row>
    <x:row r="399">
      <x:c r="A399" s="25"/>
      <x:c r="B399" s="25"/>
      <x:c r="C399" s="25"/>
      <x:c r="D399" s="25"/>
      <x:c r="E399" s="25"/>
      <x:c r="F399" s="25"/>
      <x:c r="G399" s="25"/>
      <x:c r="H399" s="25"/>
      <x:c r="I399" s="25"/>
      <x:c r="J399" s="25"/>
      <x:c r="K399" s="25"/>
      <x:c r="L399" s="25"/>
      <x:c r="M399" s="25"/>
      <x:c r="N399" s="25"/>
      <x:c r="O399" s="25"/>
      <x:c r="P399" s="25"/>
      <x:c r="Q399" s="25"/>
      <x:c r="R399" s="25"/>
      <x:c r="S399" s="25"/>
      <x:c r="T399" s="25"/>
      <x:c r="U399" s="25"/>
      <x:c r="V399" s="25"/>
      <x:c r="W399" s="25"/>
      <x:c r="X399" s="25"/>
      <x:c r="Y399" s="25"/>
      <x:c r="Z399" s="25"/>
    </x:row>
    <x:row r="400">
      <x:c r="A400" s="25"/>
      <x:c r="B400" s="25"/>
      <x:c r="C400" s="25"/>
      <x:c r="D400" s="25"/>
      <x:c r="E400" s="25"/>
      <x:c r="F400" s="25"/>
      <x:c r="G400" s="25"/>
      <x:c r="H400" s="25"/>
      <x:c r="I400" s="25"/>
      <x:c r="J400" s="25"/>
      <x:c r="K400" s="25"/>
      <x:c r="L400" s="25"/>
      <x:c r="M400" s="25"/>
      <x:c r="N400" s="25"/>
      <x:c r="O400" s="25"/>
      <x:c r="P400" s="25"/>
      <x:c r="Q400" s="25"/>
      <x:c r="R400" s="25"/>
      <x:c r="S400" s="25"/>
      <x:c r="T400" s="25"/>
      <x:c r="U400" s="25"/>
      <x:c r="V400" s="25"/>
      <x:c r="W400" s="25"/>
      <x:c r="X400" s="25"/>
      <x:c r="Y400" s="25"/>
      <x:c r="Z400" s="25"/>
    </x:row>
    <x:row r="401">
      <x:c r="A401" s="25"/>
      <x:c r="B401" s="25"/>
      <x:c r="C401" s="25"/>
      <x:c r="D401" s="25"/>
      <x:c r="E401" s="25"/>
      <x:c r="F401" s="25"/>
      <x:c r="G401" s="25"/>
      <x:c r="H401" s="25"/>
      <x:c r="I401" s="25"/>
      <x:c r="J401" s="25"/>
      <x:c r="K401" s="25"/>
      <x:c r="L401" s="25"/>
      <x:c r="M401" s="25"/>
      <x:c r="N401" s="25"/>
      <x:c r="O401" s="25"/>
      <x:c r="P401" s="25"/>
      <x:c r="Q401" s="25"/>
      <x:c r="R401" s="25"/>
      <x:c r="S401" s="25"/>
      <x:c r="T401" s="25"/>
      <x:c r="U401" s="25"/>
      <x:c r="V401" s="25"/>
      <x:c r="W401" s="25"/>
      <x:c r="X401" s="25"/>
      <x:c r="Y401" s="25"/>
      <x:c r="Z401" s="25"/>
    </x:row>
    <x:row r="402">
      <x:c r="A402" s="25"/>
      <x:c r="B402" s="25"/>
      <x:c r="C402" s="25"/>
      <x:c r="D402" s="25"/>
      <x:c r="E402" s="25"/>
      <x:c r="F402" s="25"/>
      <x:c r="G402" s="25"/>
      <x:c r="H402" s="25"/>
      <x:c r="I402" s="25"/>
      <x:c r="J402" s="25"/>
      <x:c r="K402" s="25"/>
      <x:c r="L402" s="25"/>
      <x:c r="M402" s="25"/>
      <x:c r="N402" s="25"/>
      <x:c r="O402" s="25"/>
      <x:c r="P402" s="25"/>
      <x:c r="Q402" s="25"/>
      <x:c r="R402" s="25"/>
      <x:c r="S402" s="25"/>
      <x:c r="T402" s="25"/>
      <x:c r="U402" s="25"/>
      <x:c r="V402" s="25"/>
      <x:c r="W402" s="25"/>
      <x:c r="X402" s="25"/>
      <x:c r="Y402" s="25"/>
      <x:c r="Z402" s="25"/>
    </x:row>
    <x:row r="403">
      <x:c r="A403" s="25"/>
      <x:c r="B403" s="25"/>
      <x:c r="C403" s="25"/>
      <x:c r="D403" s="25"/>
      <x:c r="E403" s="25"/>
      <x:c r="F403" s="25"/>
      <x:c r="G403" s="25"/>
      <x:c r="H403" s="25"/>
      <x:c r="I403" s="25"/>
      <x:c r="J403" s="25"/>
      <x:c r="K403" s="25"/>
      <x:c r="L403" s="25"/>
      <x:c r="M403" s="25"/>
      <x:c r="N403" s="25"/>
      <x:c r="O403" s="25"/>
      <x:c r="P403" s="25"/>
      <x:c r="Q403" s="25"/>
      <x:c r="R403" s="25"/>
      <x:c r="S403" s="25"/>
      <x:c r="T403" s="25"/>
      <x:c r="U403" s="25"/>
      <x:c r="V403" s="25"/>
      <x:c r="W403" s="25"/>
      <x:c r="X403" s="25"/>
      <x:c r="Y403" s="25"/>
      <x:c r="Z403" s="25"/>
    </x:row>
    <x:row r="404">
      <x:c r="A404" s="25"/>
      <x:c r="B404" s="25"/>
      <x:c r="C404" s="25"/>
      <x:c r="D404" s="25"/>
      <x:c r="E404" s="25"/>
      <x:c r="F404" s="25"/>
      <x:c r="G404" s="25"/>
      <x:c r="H404" s="25"/>
      <x:c r="I404" s="25"/>
      <x:c r="J404" s="25"/>
      <x:c r="K404" s="25"/>
      <x:c r="L404" s="25"/>
      <x:c r="M404" s="25"/>
      <x:c r="N404" s="25"/>
      <x:c r="O404" s="25"/>
      <x:c r="P404" s="25"/>
      <x:c r="Q404" s="25"/>
      <x:c r="R404" s="25"/>
      <x:c r="S404" s="25"/>
      <x:c r="T404" s="25"/>
      <x:c r="U404" s="25"/>
      <x:c r="V404" s="25"/>
      <x:c r="W404" s="25"/>
      <x:c r="X404" s="25"/>
      <x:c r="Y404" s="25"/>
      <x:c r="Z404" s="25"/>
    </x:row>
    <x:row r="405">
      <x:c r="A405" s="25"/>
      <x:c r="B405" s="25"/>
      <x:c r="C405" s="25"/>
      <x:c r="D405" s="25"/>
      <x:c r="E405" s="25"/>
      <x:c r="F405" s="25"/>
      <x:c r="G405" s="25"/>
      <x:c r="H405" s="25"/>
      <x:c r="I405" s="25"/>
      <x:c r="J405" s="25"/>
      <x:c r="K405" s="25"/>
      <x:c r="L405" s="25"/>
      <x:c r="M405" s="25"/>
      <x:c r="N405" s="25"/>
      <x:c r="O405" s="25"/>
      <x:c r="P405" s="25"/>
      <x:c r="Q405" s="25"/>
      <x:c r="R405" s="25"/>
      <x:c r="S405" s="25"/>
      <x:c r="T405" s="25"/>
      <x:c r="U405" s="25"/>
      <x:c r="V405" s="25"/>
      <x:c r="W405" s="25"/>
      <x:c r="X405" s="25"/>
      <x:c r="Y405" s="25"/>
      <x:c r="Z405" s="25"/>
    </x:row>
    <x:row r="406">
      <x:c r="A406" s="25"/>
      <x:c r="B406" s="25"/>
      <x:c r="C406" s="25"/>
      <x:c r="D406" s="25"/>
      <x:c r="E406" s="25"/>
      <x:c r="F406" s="25"/>
      <x:c r="G406" s="25"/>
      <x:c r="H406" s="25"/>
      <x:c r="I406" s="25"/>
      <x:c r="J406" s="25"/>
      <x:c r="K406" s="25"/>
      <x:c r="L406" s="25"/>
      <x:c r="M406" s="25"/>
      <x:c r="N406" s="25"/>
      <x:c r="O406" s="25"/>
      <x:c r="P406" s="25"/>
      <x:c r="Q406" s="25"/>
      <x:c r="R406" s="25"/>
      <x:c r="S406" s="25"/>
      <x:c r="T406" s="25"/>
      <x:c r="U406" s="25"/>
      <x:c r="V406" s="25"/>
      <x:c r="W406" s="25"/>
      <x:c r="X406" s="25"/>
      <x:c r="Y406" s="25"/>
      <x:c r="Z406" s="25"/>
    </x:row>
    <x:row r="407">
      <x:c r="A407" s="25"/>
      <x:c r="B407" s="25"/>
      <x:c r="C407" s="25"/>
      <x:c r="D407" s="25"/>
      <x:c r="E407" s="25"/>
      <x:c r="F407" s="25"/>
      <x:c r="G407" s="25"/>
      <x:c r="H407" s="25"/>
      <x:c r="I407" s="25"/>
      <x:c r="J407" s="25"/>
      <x:c r="K407" s="25"/>
      <x:c r="L407" s="25"/>
      <x:c r="M407" s="25"/>
      <x:c r="N407" s="25"/>
      <x:c r="O407" s="25"/>
      <x:c r="P407" s="25"/>
      <x:c r="Q407" s="25"/>
      <x:c r="R407" s="25"/>
      <x:c r="S407" s="25"/>
      <x:c r="T407" s="25"/>
      <x:c r="U407" s="25"/>
      <x:c r="V407" s="25"/>
      <x:c r="W407" s="25"/>
      <x:c r="X407" s="25"/>
      <x:c r="Y407" s="25"/>
      <x:c r="Z407" s="25"/>
    </x:row>
    <x:row r="408">
      <x:c r="A408" s="25"/>
      <x:c r="B408" s="25"/>
      <x:c r="C408" s="25"/>
      <x:c r="D408" s="25"/>
      <x:c r="E408" s="25"/>
      <x:c r="F408" s="25"/>
      <x:c r="G408" s="25"/>
      <x:c r="H408" s="25"/>
      <x:c r="I408" s="25"/>
      <x:c r="J408" s="25"/>
      <x:c r="K408" s="25"/>
      <x:c r="L408" s="25"/>
      <x:c r="M408" s="25"/>
      <x:c r="N408" s="25"/>
      <x:c r="O408" s="25"/>
      <x:c r="P408" s="25"/>
      <x:c r="Q408" s="25"/>
      <x:c r="R408" s="25"/>
      <x:c r="S408" s="25"/>
      <x:c r="T408" s="25"/>
      <x:c r="U408" s="25"/>
      <x:c r="V408" s="25"/>
      <x:c r="W408" s="25"/>
      <x:c r="X408" s="25"/>
      <x:c r="Y408" s="25"/>
      <x:c r="Z408" s="25"/>
    </x:row>
    <x:row r="409">
      <x:c r="A409" s="25"/>
      <x:c r="B409" s="25"/>
      <x:c r="C409" s="25"/>
      <x:c r="D409" s="25"/>
      <x:c r="E409" s="25"/>
      <x:c r="F409" s="25"/>
      <x:c r="G409" s="25"/>
      <x:c r="H409" s="25"/>
      <x:c r="I409" s="25"/>
      <x:c r="J409" s="25"/>
      <x:c r="K409" s="25"/>
      <x:c r="L409" s="25"/>
      <x:c r="M409" s="25"/>
      <x:c r="N409" s="25"/>
      <x:c r="O409" s="25"/>
      <x:c r="P409" s="25"/>
      <x:c r="Q409" s="25"/>
      <x:c r="R409" s="25"/>
      <x:c r="S409" s="25"/>
      <x:c r="T409" s="25"/>
      <x:c r="U409" s="25"/>
      <x:c r="V409" s="25"/>
      <x:c r="W409" s="25"/>
      <x:c r="X409" s="25"/>
      <x:c r="Y409" s="25"/>
      <x:c r="Z409" s="25"/>
    </x:row>
    <x:row r="410">
      <x:c r="A410" s="25"/>
      <x:c r="B410" s="25"/>
      <x:c r="C410" s="25"/>
      <x:c r="D410" s="25"/>
      <x:c r="E410" s="25"/>
      <x:c r="F410" s="25"/>
      <x:c r="G410" s="25"/>
      <x:c r="H410" s="25"/>
      <x:c r="I410" s="25"/>
      <x:c r="J410" s="25"/>
      <x:c r="K410" s="25"/>
      <x:c r="L410" s="25"/>
      <x:c r="M410" s="25"/>
      <x:c r="N410" s="25"/>
      <x:c r="O410" s="25"/>
      <x:c r="P410" s="25"/>
      <x:c r="Q410" s="25"/>
      <x:c r="R410" s="25"/>
      <x:c r="S410" s="25"/>
      <x:c r="T410" s="25"/>
      <x:c r="U410" s="25"/>
      <x:c r="V410" s="25"/>
      <x:c r="W410" s="25"/>
      <x:c r="X410" s="25"/>
      <x:c r="Y410" s="25"/>
      <x:c r="Z410" s="25"/>
    </x:row>
    <x:row r="411">
      <x:c r="A411" s="25"/>
      <x:c r="B411" s="25"/>
      <x:c r="C411" s="25"/>
      <x:c r="D411" s="25"/>
      <x:c r="E411" s="25"/>
      <x:c r="F411" s="25"/>
      <x:c r="G411" s="25"/>
      <x:c r="H411" s="25"/>
      <x:c r="I411" s="25"/>
      <x:c r="J411" s="25"/>
      <x:c r="K411" s="25"/>
      <x:c r="L411" s="25"/>
      <x:c r="M411" s="25"/>
      <x:c r="N411" s="25"/>
      <x:c r="O411" s="25"/>
      <x:c r="P411" s="25"/>
      <x:c r="Q411" s="25"/>
      <x:c r="R411" s="25"/>
      <x:c r="S411" s="25"/>
      <x:c r="T411" s="25"/>
      <x:c r="U411" s="25"/>
      <x:c r="V411" s="25"/>
      <x:c r="W411" s="25"/>
      <x:c r="X411" s="25"/>
      <x:c r="Y411" s="25"/>
      <x:c r="Z411" s="25"/>
    </x:row>
    <x:row r="412">
      <x:c r="A412" s="25"/>
      <x:c r="B412" s="25"/>
      <x:c r="C412" s="25"/>
      <x:c r="D412" s="25"/>
      <x:c r="E412" s="25"/>
      <x:c r="F412" s="25"/>
      <x:c r="G412" s="25"/>
      <x:c r="H412" s="25"/>
      <x:c r="I412" s="25"/>
      <x:c r="J412" s="25"/>
      <x:c r="K412" s="25"/>
      <x:c r="L412" s="25"/>
      <x:c r="M412" s="25"/>
      <x:c r="N412" s="25"/>
      <x:c r="O412" s="25"/>
      <x:c r="P412" s="25"/>
      <x:c r="Q412" s="25"/>
      <x:c r="R412" s="25"/>
      <x:c r="S412" s="25"/>
      <x:c r="T412" s="25"/>
      <x:c r="U412" s="25"/>
      <x:c r="V412" s="25"/>
      <x:c r="W412" s="25"/>
      <x:c r="X412" s="25"/>
      <x:c r="Y412" s="25"/>
      <x:c r="Z412" s="25"/>
    </x:row>
    <x:row r="413">
      <x:c r="A413" s="25"/>
      <x:c r="B413" s="25"/>
      <x:c r="C413" s="25"/>
      <x:c r="D413" s="25"/>
      <x:c r="E413" s="25"/>
      <x:c r="F413" s="25"/>
      <x:c r="G413" s="25"/>
      <x:c r="H413" s="25"/>
      <x:c r="I413" s="25"/>
      <x:c r="J413" s="25"/>
      <x:c r="K413" s="25"/>
      <x:c r="L413" s="25"/>
      <x:c r="M413" s="25"/>
      <x:c r="N413" s="25"/>
      <x:c r="O413" s="25"/>
      <x:c r="P413" s="25"/>
      <x:c r="Q413" s="25"/>
      <x:c r="R413" s="25"/>
      <x:c r="S413" s="25"/>
      <x:c r="T413" s="25"/>
      <x:c r="U413" s="25"/>
      <x:c r="V413" s="25"/>
      <x:c r="W413" s="25"/>
      <x:c r="X413" s="25"/>
      <x:c r="Y413" s="25"/>
      <x:c r="Z413" s="25"/>
    </x:row>
    <x:row r="414">
      <x:c r="A414" s="25"/>
      <x:c r="B414" s="25"/>
      <x:c r="C414" s="25"/>
      <x:c r="D414" s="25"/>
      <x:c r="E414" s="25"/>
      <x:c r="F414" s="25"/>
      <x:c r="G414" s="25"/>
      <x:c r="H414" s="25"/>
      <x:c r="I414" s="25"/>
      <x:c r="J414" s="25"/>
      <x:c r="K414" s="25"/>
      <x:c r="L414" s="25"/>
      <x:c r="M414" s="25"/>
      <x:c r="N414" s="25"/>
      <x:c r="O414" s="25"/>
      <x:c r="P414" s="25"/>
      <x:c r="Q414" s="25"/>
      <x:c r="R414" s="25"/>
      <x:c r="S414" s="25"/>
      <x:c r="T414" s="25"/>
      <x:c r="U414" s="25"/>
      <x:c r="V414" s="25"/>
      <x:c r="W414" s="25"/>
      <x:c r="X414" s="25"/>
      <x:c r="Y414" s="25"/>
      <x:c r="Z414" s="25"/>
    </x:row>
    <x:row r="415">
      <x:c r="A415" s="25"/>
      <x:c r="B415" s="25"/>
      <x:c r="C415" s="25"/>
      <x:c r="D415" s="25"/>
      <x:c r="E415" s="25"/>
      <x:c r="F415" s="25"/>
      <x:c r="G415" s="25"/>
      <x:c r="H415" s="25"/>
      <x:c r="I415" s="25"/>
      <x:c r="J415" s="25"/>
      <x:c r="K415" s="25"/>
      <x:c r="L415" s="25"/>
      <x:c r="M415" s="25"/>
      <x:c r="N415" s="25"/>
      <x:c r="O415" s="25"/>
      <x:c r="P415" s="25"/>
      <x:c r="Q415" s="25"/>
      <x:c r="R415" s="25"/>
      <x:c r="S415" s="25"/>
      <x:c r="T415" s="25"/>
      <x:c r="U415" s="25"/>
      <x:c r="V415" s="25"/>
      <x:c r="W415" s="25"/>
      <x:c r="X415" s="25"/>
      <x:c r="Y415" s="25"/>
      <x:c r="Z415" s="25"/>
    </x:row>
    <x:row r="416">
      <x:c r="A416" s="25"/>
      <x:c r="B416" s="25"/>
      <x:c r="C416" s="25"/>
      <x:c r="D416" s="25"/>
      <x:c r="E416" s="25"/>
      <x:c r="F416" s="25"/>
      <x:c r="G416" s="25"/>
      <x:c r="H416" s="25"/>
      <x:c r="I416" s="25"/>
      <x:c r="J416" s="25"/>
      <x:c r="K416" s="25"/>
      <x:c r="L416" s="25"/>
      <x:c r="M416" s="25"/>
      <x:c r="N416" s="25"/>
      <x:c r="O416" s="25"/>
      <x:c r="P416" s="25"/>
      <x:c r="Q416" s="25"/>
      <x:c r="R416" s="25"/>
      <x:c r="S416" s="25"/>
      <x:c r="T416" s="25"/>
      <x:c r="U416" s="25"/>
      <x:c r="V416" s="25"/>
      <x:c r="W416" s="25"/>
      <x:c r="X416" s="25"/>
      <x:c r="Y416" s="25"/>
      <x:c r="Z416" s="25"/>
    </x:row>
    <x:row r="417">
      <x:c r="A417" s="25"/>
      <x:c r="B417" s="25"/>
      <x:c r="C417" s="25"/>
      <x:c r="D417" s="25"/>
      <x:c r="E417" s="25"/>
      <x:c r="F417" s="25"/>
      <x:c r="G417" s="25"/>
      <x:c r="H417" s="25"/>
      <x:c r="I417" s="25"/>
      <x:c r="J417" s="25"/>
      <x:c r="K417" s="25"/>
      <x:c r="L417" s="25"/>
      <x:c r="M417" s="25"/>
      <x:c r="N417" s="25"/>
      <x:c r="O417" s="25"/>
      <x:c r="P417" s="25"/>
      <x:c r="Q417" s="25"/>
      <x:c r="R417" s="25"/>
      <x:c r="S417" s="25"/>
      <x:c r="T417" s="25"/>
      <x:c r="U417" s="25"/>
      <x:c r="V417" s="25"/>
      <x:c r="W417" s="25"/>
      <x:c r="X417" s="25"/>
      <x:c r="Y417" s="25"/>
      <x:c r="Z417" s="25"/>
    </x:row>
    <x:row r="418">
      <x:c r="A418" s="25"/>
      <x:c r="B418" s="25"/>
      <x:c r="C418" s="25"/>
      <x:c r="D418" s="25"/>
      <x:c r="E418" s="25"/>
      <x:c r="F418" s="25"/>
      <x:c r="G418" s="25"/>
      <x:c r="H418" s="25"/>
      <x:c r="I418" s="25"/>
      <x:c r="J418" s="25"/>
      <x:c r="K418" s="25"/>
      <x:c r="L418" s="25"/>
      <x:c r="M418" s="25"/>
      <x:c r="N418" s="25"/>
      <x:c r="O418" s="25"/>
      <x:c r="P418" s="25"/>
      <x:c r="Q418" s="25"/>
      <x:c r="R418" s="25"/>
      <x:c r="S418" s="25"/>
      <x:c r="T418" s="25"/>
      <x:c r="U418" s="25"/>
      <x:c r="V418" s="25"/>
      <x:c r="W418" s="25"/>
      <x:c r="X418" s="25"/>
      <x:c r="Y418" s="25"/>
      <x:c r="Z418" s="25"/>
    </x:row>
    <x:row r="419">
      <x:c r="A419" s="25"/>
      <x:c r="B419" s="25"/>
      <x:c r="C419" s="25"/>
      <x:c r="D419" s="25"/>
      <x:c r="E419" s="25"/>
      <x:c r="F419" s="25"/>
      <x:c r="G419" s="25"/>
      <x:c r="H419" s="25"/>
      <x:c r="I419" s="25"/>
      <x:c r="J419" s="25"/>
      <x:c r="K419" s="25"/>
      <x:c r="L419" s="25"/>
      <x:c r="M419" s="25"/>
      <x:c r="N419" s="25"/>
      <x:c r="O419" s="25"/>
      <x:c r="P419" s="25"/>
      <x:c r="Q419" s="25"/>
      <x:c r="R419" s="25"/>
      <x:c r="S419" s="25"/>
      <x:c r="T419" s="25"/>
      <x:c r="U419" s="25"/>
      <x:c r="V419" s="25"/>
      <x:c r="W419" s="25"/>
      <x:c r="X419" s="25"/>
      <x:c r="Y419" s="25"/>
      <x:c r="Z419" s="25"/>
    </x:row>
    <x:row r="420">
      <x:c r="A420" s="25"/>
      <x:c r="B420" s="25"/>
      <x:c r="C420" s="25"/>
      <x:c r="D420" s="25"/>
      <x:c r="E420" s="25"/>
      <x:c r="F420" s="25"/>
      <x:c r="G420" s="25"/>
      <x:c r="H420" s="25"/>
      <x:c r="I420" s="25"/>
      <x:c r="J420" s="25"/>
      <x:c r="K420" s="25"/>
      <x:c r="L420" s="25"/>
      <x:c r="M420" s="25"/>
      <x:c r="N420" s="25"/>
      <x:c r="O420" s="25"/>
      <x:c r="P420" s="25"/>
      <x:c r="Q420" s="25"/>
      <x:c r="R420" s="25"/>
      <x:c r="S420" s="25"/>
      <x:c r="T420" s="25"/>
      <x:c r="U420" s="25"/>
      <x:c r="V420" s="25"/>
      <x:c r="W420" s="25"/>
      <x:c r="X420" s="25"/>
      <x:c r="Y420" s="25"/>
      <x:c r="Z420" s="25"/>
    </x:row>
    <x:row r="421">
      <x:c r="A421" s="25"/>
      <x:c r="B421" s="25"/>
      <x:c r="C421" s="25"/>
      <x:c r="D421" s="25"/>
      <x:c r="E421" s="25"/>
      <x:c r="F421" s="25"/>
      <x:c r="G421" s="25"/>
      <x:c r="H421" s="25"/>
      <x:c r="I421" s="25"/>
      <x:c r="J421" s="25"/>
      <x:c r="K421" s="25"/>
      <x:c r="L421" s="25"/>
      <x:c r="M421" s="25"/>
      <x:c r="N421" s="25"/>
      <x:c r="O421" s="25"/>
      <x:c r="P421" s="25"/>
      <x:c r="Q421" s="25"/>
      <x:c r="R421" s="25"/>
      <x:c r="S421" s="25"/>
      <x:c r="T421" s="25"/>
      <x:c r="U421" s="25"/>
      <x:c r="V421" s="25"/>
      <x:c r="W421" s="25"/>
      <x:c r="X421" s="25"/>
      <x:c r="Y421" s="25"/>
      <x:c r="Z421" s="25"/>
    </x:row>
    <x:row r="422">
      <x:c r="A422" s="25"/>
      <x:c r="B422" s="25"/>
      <x:c r="C422" s="25"/>
      <x:c r="D422" s="25"/>
      <x:c r="E422" s="25"/>
      <x:c r="F422" s="25"/>
      <x:c r="G422" s="25"/>
      <x:c r="H422" s="25"/>
      <x:c r="I422" s="25"/>
      <x:c r="J422" s="25"/>
      <x:c r="K422" s="25"/>
      <x:c r="L422" s="25"/>
      <x:c r="M422" s="25"/>
      <x:c r="N422" s="25"/>
      <x:c r="O422" s="25"/>
      <x:c r="P422" s="25"/>
      <x:c r="Q422" s="25"/>
      <x:c r="R422" s="25"/>
      <x:c r="S422" s="25"/>
      <x:c r="T422" s="25"/>
      <x:c r="U422" s="25"/>
      <x:c r="V422" s="25"/>
      <x:c r="W422" s="25"/>
      <x:c r="X422" s="25"/>
      <x:c r="Y422" s="25"/>
      <x:c r="Z422" s="25"/>
    </x:row>
    <x:row r="423">
      <x:c r="A423" s="25"/>
      <x:c r="B423" s="25"/>
      <x:c r="C423" s="25"/>
      <x:c r="D423" s="25"/>
      <x:c r="E423" s="25"/>
      <x:c r="F423" s="25"/>
      <x:c r="G423" s="25"/>
      <x:c r="H423" s="25"/>
      <x:c r="I423" s="25"/>
      <x:c r="J423" s="25"/>
      <x:c r="K423" s="25"/>
      <x:c r="L423" s="25"/>
      <x:c r="M423" s="25"/>
      <x:c r="N423" s="25"/>
      <x:c r="O423" s="25"/>
      <x:c r="P423" s="25"/>
      <x:c r="Q423" s="25"/>
      <x:c r="R423" s="25"/>
      <x:c r="S423" s="25"/>
      <x:c r="T423" s="25"/>
      <x:c r="U423" s="25"/>
      <x:c r="V423" s="25"/>
      <x:c r="W423" s="25"/>
      <x:c r="X423" s="25"/>
      <x:c r="Y423" s="25"/>
      <x:c r="Z423" s="25"/>
    </x:row>
    <x:row r="424">
      <x:c r="A424" s="25"/>
      <x:c r="B424" s="25"/>
      <x:c r="C424" s="25"/>
      <x:c r="D424" s="25"/>
      <x:c r="E424" s="25"/>
      <x:c r="F424" s="25"/>
      <x:c r="G424" s="25"/>
      <x:c r="H424" s="25"/>
      <x:c r="I424" s="25"/>
      <x:c r="J424" s="25"/>
      <x:c r="K424" s="25"/>
      <x:c r="L424" s="25"/>
      <x:c r="M424" s="25"/>
      <x:c r="N424" s="25"/>
      <x:c r="O424" s="25"/>
      <x:c r="P424" s="25"/>
      <x:c r="Q424" s="25"/>
      <x:c r="R424" s="25"/>
      <x:c r="S424" s="25"/>
      <x:c r="T424" s="25"/>
      <x:c r="U424" s="25"/>
      <x:c r="V424" s="25"/>
      <x:c r="W424" s="25"/>
      <x:c r="X424" s="25"/>
      <x:c r="Y424" s="25"/>
      <x:c r="Z424" s="25"/>
    </x:row>
    <x:row r="425">
      <x:c r="A425" s="25"/>
      <x:c r="B425" s="25"/>
      <x:c r="C425" s="25"/>
      <x:c r="D425" s="25"/>
      <x:c r="E425" s="25"/>
      <x:c r="F425" s="25"/>
      <x:c r="G425" s="25"/>
      <x:c r="H425" s="25"/>
      <x:c r="I425" s="25"/>
      <x:c r="J425" s="25"/>
      <x:c r="K425" s="25"/>
      <x:c r="L425" s="25"/>
      <x:c r="M425" s="25"/>
      <x:c r="N425" s="25"/>
      <x:c r="O425" s="25"/>
      <x:c r="P425" s="25"/>
      <x:c r="Q425" s="25"/>
      <x:c r="R425" s="25"/>
      <x:c r="S425" s="25"/>
      <x:c r="T425" s="25"/>
      <x:c r="U425" s="25"/>
      <x:c r="V425" s="25"/>
      <x:c r="W425" s="25"/>
      <x:c r="X425" s="25"/>
      <x:c r="Y425" s="25"/>
      <x:c r="Z425" s="25"/>
    </x:row>
    <x:row r="426">
      <x:c r="A426" s="25"/>
      <x:c r="B426" s="25"/>
      <x:c r="C426" s="25"/>
      <x:c r="D426" s="25"/>
      <x:c r="E426" s="25"/>
      <x:c r="F426" s="25"/>
      <x:c r="G426" s="25"/>
      <x:c r="H426" s="25"/>
      <x:c r="I426" s="25"/>
      <x:c r="J426" s="25"/>
      <x:c r="K426" s="25"/>
      <x:c r="L426" s="25"/>
      <x:c r="M426" s="25"/>
      <x:c r="N426" s="25"/>
      <x:c r="O426" s="25"/>
      <x:c r="P426" s="25"/>
      <x:c r="Q426" s="25"/>
      <x:c r="R426" s="25"/>
      <x:c r="S426" s="25"/>
      <x:c r="T426" s="25"/>
      <x:c r="U426" s="25"/>
      <x:c r="V426" s="25"/>
      <x:c r="W426" s="25"/>
      <x:c r="X426" s="25"/>
      <x:c r="Y426" s="25"/>
      <x:c r="Z426" s="25"/>
    </x:row>
    <x:row r="427">
      <x:c r="A427" s="25"/>
      <x:c r="B427" s="25"/>
      <x:c r="C427" s="25"/>
      <x:c r="D427" s="25"/>
      <x:c r="E427" s="25"/>
      <x:c r="F427" s="25"/>
      <x:c r="G427" s="25"/>
      <x:c r="H427" s="25"/>
      <x:c r="I427" s="25"/>
      <x:c r="J427" s="25"/>
      <x:c r="K427" s="25"/>
      <x:c r="L427" s="25"/>
      <x:c r="M427" s="25"/>
      <x:c r="N427" s="25"/>
      <x:c r="O427" s="25"/>
      <x:c r="P427" s="25"/>
      <x:c r="Q427" s="25"/>
      <x:c r="R427" s="25"/>
      <x:c r="S427" s="25"/>
      <x:c r="T427" s="25"/>
      <x:c r="U427" s="25"/>
      <x:c r="V427" s="25"/>
      <x:c r="W427" s="25"/>
      <x:c r="X427" s="25"/>
      <x:c r="Y427" s="25"/>
      <x:c r="Z427" s="25"/>
    </x:row>
    <x:row r="428">
      <x:c r="A428" s="25"/>
      <x:c r="B428" s="25"/>
      <x:c r="C428" s="25"/>
      <x:c r="D428" s="25"/>
      <x:c r="E428" s="25"/>
      <x:c r="F428" s="25"/>
      <x:c r="G428" s="25"/>
      <x:c r="H428" s="25"/>
      <x:c r="I428" s="25"/>
      <x:c r="J428" s="25"/>
      <x:c r="K428" s="25"/>
      <x:c r="L428" s="25"/>
      <x:c r="M428" s="25"/>
      <x:c r="N428" s="25"/>
      <x:c r="O428" s="25"/>
      <x:c r="P428" s="25"/>
      <x:c r="Q428" s="25"/>
      <x:c r="R428" s="25"/>
      <x:c r="S428" s="25"/>
      <x:c r="T428" s="25"/>
      <x:c r="U428" s="25"/>
      <x:c r="V428" s="25"/>
      <x:c r="W428" s="25"/>
      <x:c r="X428" s="25"/>
      <x:c r="Y428" s="25"/>
      <x:c r="Z428" s="25"/>
    </x:row>
    <x:row r="429">
      <x:c r="A429" s="25"/>
      <x:c r="B429" s="25"/>
      <x:c r="C429" s="25"/>
      <x:c r="D429" s="25"/>
      <x:c r="E429" s="25"/>
      <x:c r="F429" s="25"/>
      <x:c r="G429" s="25"/>
      <x:c r="H429" s="25"/>
      <x:c r="I429" s="25"/>
      <x:c r="J429" s="25"/>
      <x:c r="K429" s="25"/>
      <x:c r="L429" s="25"/>
      <x:c r="M429" s="25"/>
      <x:c r="N429" s="25"/>
      <x:c r="O429" s="25"/>
      <x:c r="P429" s="25"/>
      <x:c r="Q429" s="25"/>
      <x:c r="R429" s="25"/>
      <x:c r="S429" s="25"/>
      <x:c r="T429" s="25"/>
      <x:c r="U429" s="25"/>
      <x:c r="V429" s="25"/>
      <x:c r="W429" s="25"/>
      <x:c r="X429" s="25"/>
      <x:c r="Y429" s="25"/>
      <x:c r="Z429" s="25"/>
    </x:row>
    <x:row r="430">
      <x:c r="A430" s="25"/>
      <x:c r="B430" s="25"/>
      <x:c r="C430" s="25"/>
      <x:c r="D430" s="25"/>
      <x:c r="E430" s="25"/>
      <x:c r="F430" s="25"/>
      <x:c r="G430" s="25"/>
      <x:c r="H430" s="25"/>
      <x:c r="I430" s="25"/>
      <x:c r="J430" s="25"/>
      <x:c r="K430" s="25"/>
      <x:c r="L430" s="25"/>
      <x:c r="M430" s="25"/>
      <x:c r="N430" s="25"/>
      <x:c r="O430" s="25"/>
      <x:c r="P430" s="25"/>
      <x:c r="Q430" s="25"/>
      <x:c r="R430" s="25"/>
      <x:c r="S430" s="25"/>
      <x:c r="T430" s="25"/>
      <x:c r="U430" s="25"/>
      <x:c r="V430" s="25"/>
      <x:c r="W430" s="25"/>
      <x:c r="X430" s="25"/>
      <x:c r="Y430" s="25"/>
      <x:c r="Z430" s="25"/>
    </x:row>
    <x:row r="431">
      <x:c r="A431" s="25"/>
      <x:c r="B431" s="25"/>
      <x:c r="C431" s="25"/>
      <x:c r="D431" s="25"/>
      <x:c r="E431" s="25"/>
      <x:c r="F431" s="25"/>
      <x:c r="G431" s="25"/>
      <x:c r="H431" s="25"/>
      <x:c r="I431" s="25"/>
      <x:c r="J431" s="25"/>
      <x:c r="K431" s="25"/>
      <x:c r="L431" s="25"/>
      <x:c r="M431" s="25"/>
      <x:c r="N431" s="25"/>
      <x:c r="O431" s="25"/>
      <x:c r="P431" s="25"/>
      <x:c r="Q431" s="25"/>
      <x:c r="R431" s="25"/>
      <x:c r="S431" s="25"/>
      <x:c r="T431" s="25"/>
      <x:c r="U431" s="25"/>
      <x:c r="V431" s="25"/>
      <x:c r="W431" s="25"/>
      <x:c r="X431" s="25"/>
      <x:c r="Y431" s="25"/>
      <x:c r="Z431" s="25"/>
    </x:row>
    <x:row r="432">
      <x:c r="A432" s="25"/>
      <x:c r="B432" s="25"/>
      <x:c r="C432" s="25"/>
      <x:c r="D432" s="25"/>
      <x:c r="E432" s="25"/>
      <x:c r="F432" s="25"/>
      <x:c r="G432" s="25"/>
      <x:c r="H432" s="25"/>
      <x:c r="I432" s="25"/>
      <x:c r="J432" s="25"/>
      <x:c r="K432" s="25"/>
      <x:c r="L432" s="25"/>
      <x:c r="M432" s="25"/>
      <x:c r="N432" s="25"/>
      <x:c r="O432" s="25"/>
      <x:c r="P432" s="25"/>
      <x:c r="Q432" s="25"/>
      <x:c r="R432" s="25"/>
      <x:c r="S432" s="25"/>
      <x:c r="T432" s="25"/>
      <x:c r="U432" s="25"/>
      <x:c r="V432" s="25"/>
      <x:c r="W432" s="25"/>
      <x:c r="X432" s="25"/>
      <x:c r="Y432" s="25"/>
      <x:c r="Z432" s="25"/>
    </x:row>
    <x:row r="433">
      <x:c r="A433" s="25"/>
      <x:c r="B433" s="25"/>
      <x:c r="C433" s="25"/>
      <x:c r="D433" s="25"/>
      <x:c r="E433" s="25"/>
      <x:c r="F433" s="25"/>
      <x:c r="G433" s="25"/>
      <x:c r="H433" s="25"/>
      <x:c r="I433" s="25"/>
      <x:c r="J433" s="25"/>
      <x:c r="K433" s="25"/>
      <x:c r="L433" s="25"/>
      <x:c r="M433" s="25"/>
      <x:c r="N433" s="25"/>
      <x:c r="O433" s="25"/>
      <x:c r="P433" s="25"/>
      <x:c r="Q433" s="25"/>
      <x:c r="R433" s="25"/>
      <x:c r="S433" s="25"/>
      <x:c r="T433" s="25"/>
      <x:c r="U433" s="25"/>
      <x:c r="V433" s="25"/>
      <x:c r="W433" s="25"/>
      <x:c r="X433" s="25"/>
      <x:c r="Y433" s="25"/>
      <x:c r="Z433" s="25"/>
    </x:row>
    <x:row r="434">
      <x:c r="A434" s="25"/>
      <x:c r="B434" s="25"/>
      <x:c r="C434" s="25"/>
      <x:c r="D434" s="25"/>
      <x:c r="E434" s="25"/>
      <x:c r="F434" s="25"/>
      <x:c r="G434" s="25"/>
      <x:c r="H434" s="25"/>
      <x:c r="I434" s="25"/>
      <x:c r="J434" s="25"/>
      <x:c r="K434" s="25"/>
      <x:c r="L434" s="25"/>
      <x:c r="M434" s="25"/>
      <x:c r="N434" s="25"/>
      <x:c r="O434" s="25"/>
      <x:c r="P434" s="25"/>
      <x:c r="Q434" s="25"/>
      <x:c r="R434" s="25"/>
      <x:c r="S434" s="25"/>
      <x:c r="T434" s="25"/>
      <x:c r="U434" s="25"/>
      <x:c r="V434" s="25"/>
      <x:c r="W434" s="25"/>
      <x:c r="X434" s="25"/>
      <x:c r="Y434" s="25"/>
      <x:c r="Z434" s="25"/>
    </x:row>
    <x:row r="435">
      <x:c r="A435" s="25"/>
      <x:c r="B435" s="25"/>
      <x:c r="C435" s="25"/>
      <x:c r="D435" s="25"/>
      <x:c r="E435" s="25"/>
      <x:c r="F435" s="25"/>
      <x:c r="G435" s="25"/>
      <x:c r="H435" s="25"/>
      <x:c r="I435" s="25"/>
      <x:c r="J435" s="25"/>
      <x:c r="K435" s="25"/>
      <x:c r="L435" s="25"/>
      <x:c r="M435" s="25"/>
      <x:c r="N435" s="25"/>
      <x:c r="O435" s="25"/>
      <x:c r="P435" s="25"/>
      <x:c r="Q435" s="25"/>
      <x:c r="R435" s="25"/>
      <x:c r="S435" s="25"/>
      <x:c r="T435" s="25"/>
      <x:c r="U435" s="25"/>
      <x:c r="V435" s="25"/>
      <x:c r="W435" s="25"/>
      <x:c r="X435" s="25"/>
      <x:c r="Y435" s="25"/>
      <x:c r="Z435" s="25"/>
    </x:row>
    <x:row r="436">
      <x:c r="A436" s="25"/>
      <x:c r="B436" s="25"/>
      <x:c r="C436" s="25"/>
      <x:c r="D436" s="25"/>
      <x:c r="E436" s="25"/>
      <x:c r="F436" s="25"/>
      <x:c r="G436" s="25"/>
      <x:c r="H436" s="25"/>
      <x:c r="I436" s="25"/>
      <x:c r="J436" s="25"/>
      <x:c r="K436" s="25"/>
      <x:c r="L436" s="25"/>
      <x:c r="M436" s="25"/>
      <x:c r="N436" s="25"/>
      <x:c r="O436" s="25"/>
      <x:c r="P436" s="25"/>
      <x:c r="Q436" s="25"/>
      <x:c r="R436" s="25"/>
      <x:c r="S436" s="25"/>
      <x:c r="T436" s="25"/>
      <x:c r="U436" s="25"/>
      <x:c r="V436" s="25"/>
      <x:c r="W436" s="25"/>
      <x:c r="X436" s="25"/>
      <x:c r="Y436" s="25"/>
      <x:c r="Z436" s="25"/>
    </x:row>
    <x:row r="437">
      <x:c r="A437" s="25"/>
      <x:c r="B437" s="25"/>
      <x:c r="C437" s="25"/>
      <x:c r="D437" s="25"/>
      <x:c r="E437" s="25"/>
      <x:c r="F437" s="25"/>
      <x:c r="G437" s="25"/>
      <x:c r="H437" s="25"/>
      <x:c r="I437" s="25"/>
      <x:c r="J437" s="25"/>
      <x:c r="K437" s="25"/>
      <x:c r="L437" s="25"/>
      <x:c r="M437" s="25"/>
      <x:c r="N437" s="25"/>
      <x:c r="O437" s="25"/>
      <x:c r="P437" s="25"/>
      <x:c r="Q437" s="25"/>
      <x:c r="R437" s="25"/>
      <x:c r="S437" s="25"/>
      <x:c r="T437" s="25"/>
      <x:c r="U437" s="25"/>
      <x:c r="V437" s="25"/>
      <x:c r="W437" s="25"/>
      <x:c r="X437" s="25"/>
      <x:c r="Y437" s="25"/>
      <x:c r="Z437" s="25"/>
    </x:row>
    <x:row r="438">
      <x:c r="A438" s="25"/>
      <x:c r="B438" s="25"/>
      <x:c r="C438" s="25"/>
      <x:c r="D438" s="25"/>
      <x:c r="E438" s="25"/>
      <x:c r="F438" s="25"/>
      <x:c r="G438" s="25"/>
      <x:c r="H438" s="25"/>
      <x:c r="I438" s="25"/>
      <x:c r="J438" s="25"/>
      <x:c r="K438" s="25"/>
      <x:c r="L438" s="25"/>
      <x:c r="M438" s="25"/>
      <x:c r="N438" s="25"/>
      <x:c r="O438" s="25"/>
      <x:c r="P438" s="25"/>
      <x:c r="Q438" s="25"/>
      <x:c r="R438" s="25"/>
      <x:c r="S438" s="25"/>
      <x:c r="T438" s="25"/>
      <x:c r="U438" s="25"/>
      <x:c r="V438" s="25"/>
      <x:c r="W438" s="25"/>
      <x:c r="X438" s="25"/>
      <x:c r="Y438" s="25"/>
      <x:c r="Z438" s="25"/>
    </x:row>
    <x:row r="439">
      <x:c r="A439" s="25"/>
      <x:c r="B439" s="25"/>
      <x:c r="C439" s="25"/>
      <x:c r="D439" s="25"/>
      <x:c r="E439" s="25"/>
      <x:c r="F439" s="25"/>
      <x:c r="G439" s="25"/>
      <x:c r="H439" s="25"/>
      <x:c r="I439" s="25"/>
      <x:c r="J439" s="25"/>
      <x:c r="K439" s="25"/>
      <x:c r="L439" s="25"/>
      <x:c r="M439" s="25"/>
      <x:c r="N439" s="25"/>
      <x:c r="O439" s="25"/>
      <x:c r="P439" s="25"/>
      <x:c r="Q439" s="25"/>
      <x:c r="R439" s="25"/>
      <x:c r="S439" s="25"/>
      <x:c r="T439" s="25"/>
      <x:c r="U439" s="25"/>
      <x:c r="V439" s="25"/>
      <x:c r="W439" s="25"/>
      <x:c r="X439" s="25"/>
      <x:c r="Y439" s="25"/>
      <x:c r="Z439" s="25"/>
    </x:row>
    <x:row r="440">
      <x:c r="A440" s="25"/>
      <x:c r="B440" s="25"/>
      <x:c r="C440" s="25"/>
      <x:c r="D440" s="25"/>
      <x:c r="E440" s="25"/>
      <x:c r="F440" s="25"/>
      <x:c r="G440" s="25"/>
      <x:c r="H440" s="25"/>
      <x:c r="I440" s="25"/>
      <x:c r="J440" s="25"/>
      <x:c r="K440" s="25"/>
      <x:c r="L440" s="25"/>
      <x:c r="M440" s="25"/>
      <x:c r="N440" s="25"/>
      <x:c r="O440" s="25"/>
      <x:c r="P440" s="25"/>
      <x:c r="Q440" s="25"/>
      <x:c r="R440" s="25"/>
      <x:c r="S440" s="25"/>
      <x:c r="T440" s="25"/>
      <x:c r="U440" s="25"/>
      <x:c r="V440" s="25"/>
      <x:c r="W440" s="25"/>
      <x:c r="X440" s="25"/>
      <x:c r="Y440" s="25"/>
      <x:c r="Z440" s="25"/>
    </x:row>
    <x:row r="441">
      <x:c r="A441" s="25"/>
      <x:c r="B441" s="25"/>
      <x:c r="C441" s="25"/>
      <x:c r="D441" s="25"/>
      <x:c r="E441" s="25"/>
      <x:c r="F441" s="25"/>
      <x:c r="G441" s="25"/>
      <x:c r="H441" s="25"/>
      <x:c r="I441" s="25"/>
      <x:c r="J441" s="25"/>
      <x:c r="K441" s="25"/>
      <x:c r="L441" s="25"/>
      <x:c r="M441" s="25"/>
      <x:c r="N441" s="25"/>
      <x:c r="O441" s="25"/>
      <x:c r="P441" s="25"/>
      <x:c r="Q441" s="25"/>
      <x:c r="R441" s="25"/>
      <x:c r="S441" s="25"/>
      <x:c r="T441" s="25"/>
      <x:c r="U441" s="25"/>
      <x:c r="V441" s="25"/>
      <x:c r="W441" s="25"/>
      <x:c r="X441" s="25"/>
      <x:c r="Y441" s="25"/>
      <x:c r="Z441" s="25"/>
    </x:row>
    <x:row r="442">
      <x:c r="A442" s="25"/>
      <x:c r="B442" s="25"/>
      <x:c r="C442" s="25"/>
      <x:c r="D442" s="25"/>
      <x:c r="E442" s="25"/>
      <x:c r="F442" s="25"/>
      <x:c r="G442" s="25"/>
      <x:c r="H442" s="25"/>
      <x:c r="I442" s="25"/>
      <x:c r="J442" s="25"/>
      <x:c r="K442" s="25"/>
      <x:c r="L442" s="25"/>
      <x:c r="M442" s="25"/>
      <x:c r="N442" s="25"/>
      <x:c r="O442" s="25"/>
      <x:c r="P442" s="25"/>
      <x:c r="Q442" s="25"/>
      <x:c r="R442" s="25"/>
      <x:c r="S442" s="25"/>
      <x:c r="T442" s="25"/>
      <x:c r="U442" s="25"/>
      <x:c r="V442" s="25"/>
      <x:c r="W442" s="25"/>
      <x:c r="X442" s="25"/>
      <x:c r="Y442" s="25"/>
      <x:c r="Z442" s="25"/>
    </x:row>
    <x:row r="443">
      <x:c r="A443" s="25"/>
      <x:c r="B443" s="25"/>
      <x:c r="C443" s="25"/>
      <x:c r="D443" s="25"/>
      <x:c r="E443" s="25"/>
      <x:c r="F443" s="25"/>
      <x:c r="G443" s="25"/>
      <x:c r="H443" s="25"/>
      <x:c r="I443" s="25"/>
      <x:c r="J443" s="25"/>
      <x:c r="K443" s="25"/>
      <x:c r="L443" s="25"/>
      <x:c r="M443" s="25"/>
      <x:c r="N443" s="25"/>
      <x:c r="O443" s="25"/>
      <x:c r="P443" s="25"/>
      <x:c r="Q443" s="25"/>
      <x:c r="R443" s="25"/>
      <x:c r="S443" s="25"/>
      <x:c r="T443" s="25"/>
      <x:c r="U443" s="25"/>
      <x:c r="V443" s="25"/>
      <x:c r="W443" s="25"/>
      <x:c r="X443" s="25"/>
      <x:c r="Y443" s="25"/>
      <x:c r="Z443" s="25"/>
    </x:row>
    <x:row r="444">
      <x:c r="A444" s="25"/>
      <x:c r="B444" s="25"/>
      <x:c r="C444" s="25"/>
      <x:c r="D444" s="25"/>
      <x:c r="E444" s="25"/>
      <x:c r="F444" s="25"/>
      <x:c r="G444" s="25"/>
      <x:c r="H444" s="25"/>
      <x:c r="I444" s="25"/>
      <x:c r="J444" s="25"/>
      <x:c r="K444" s="25"/>
      <x:c r="L444" s="25"/>
      <x:c r="M444" s="25"/>
      <x:c r="N444" s="25"/>
      <x:c r="O444" s="25"/>
      <x:c r="P444" s="25"/>
      <x:c r="Q444" s="25"/>
      <x:c r="R444" s="25"/>
      <x:c r="S444" s="25"/>
      <x:c r="T444" s="25"/>
      <x:c r="U444" s="25"/>
      <x:c r="V444" s="25"/>
      <x:c r="W444" s="25"/>
      <x:c r="X444" s="25"/>
      <x:c r="Y444" s="25"/>
      <x:c r="Z444" s="25"/>
    </x:row>
    <x:row r="445">
      <x:c r="A445" s="25"/>
      <x:c r="B445" s="25"/>
      <x:c r="C445" s="25"/>
      <x:c r="D445" s="25"/>
      <x:c r="E445" s="25"/>
      <x:c r="F445" s="25"/>
      <x:c r="G445" s="25"/>
      <x:c r="H445" s="25"/>
      <x:c r="I445" s="25"/>
      <x:c r="J445" s="25"/>
      <x:c r="K445" s="25"/>
      <x:c r="L445" s="25"/>
      <x:c r="M445" s="25"/>
      <x:c r="N445" s="25"/>
      <x:c r="O445" s="25"/>
      <x:c r="P445" s="25"/>
      <x:c r="Q445" s="25"/>
      <x:c r="R445" s="25"/>
      <x:c r="S445" s="25"/>
      <x:c r="T445" s="25"/>
      <x:c r="U445" s="25"/>
      <x:c r="V445" s="25"/>
      <x:c r="W445" s="25"/>
      <x:c r="X445" s="25"/>
      <x:c r="Y445" s="25"/>
      <x:c r="Z445" s="25"/>
    </x:row>
    <x:row r="446">
      <x:c r="A446" s="25"/>
      <x:c r="B446" s="25"/>
      <x:c r="C446" s="25"/>
      <x:c r="D446" s="25"/>
      <x:c r="E446" s="25"/>
      <x:c r="F446" s="25"/>
      <x:c r="G446" s="25"/>
      <x:c r="H446" s="25"/>
      <x:c r="I446" s="25"/>
      <x:c r="J446" s="25"/>
      <x:c r="K446" s="25"/>
      <x:c r="L446" s="25"/>
      <x:c r="M446" s="25"/>
      <x:c r="N446" s="25"/>
      <x:c r="O446" s="25"/>
      <x:c r="P446" s="25"/>
      <x:c r="Q446" s="25"/>
      <x:c r="R446" s="25"/>
      <x:c r="S446" s="25"/>
      <x:c r="T446" s="25"/>
      <x:c r="U446" s="25"/>
      <x:c r="V446" s="25"/>
      <x:c r="W446" s="25"/>
      <x:c r="X446" s="25"/>
      <x:c r="Y446" s="25"/>
      <x:c r="Z446" s="25"/>
    </x:row>
    <x:row r="447">
      <x:c r="A447" s="25"/>
      <x:c r="B447" s="25"/>
      <x:c r="C447" s="25"/>
      <x:c r="D447" s="25"/>
      <x:c r="E447" s="25"/>
      <x:c r="F447" s="25"/>
      <x:c r="G447" s="25"/>
      <x:c r="H447" s="25"/>
      <x:c r="I447" s="25"/>
      <x:c r="J447" s="25"/>
      <x:c r="K447" s="25"/>
      <x:c r="L447" s="25"/>
      <x:c r="M447" s="25"/>
      <x:c r="N447" s="25"/>
      <x:c r="O447" s="25"/>
      <x:c r="P447" s="25"/>
      <x:c r="Q447" s="25"/>
      <x:c r="R447" s="25"/>
      <x:c r="S447" s="25"/>
      <x:c r="T447" s="25"/>
      <x:c r="U447" s="25"/>
      <x:c r="V447" s="25"/>
      <x:c r="W447" s="25"/>
      <x:c r="X447" s="25"/>
      <x:c r="Y447" s="25"/>
      <x:c r="Z447" s="25"/>
    </x:row>
    <x:row r="448">
      <x:c r="A448" s="25"/>
      <x:c r="B448" s="25"/>
      <x:c r="C448" s="25"/>
      <x:c r="D448" s="25"/>
      <x:c r="E448" s="25"/>
      <x:c r="F448" s="25"/>
      <x:c r="G448" s="25"/>
      <x:c r="H448" s="25"/>
      <x:c r="I448" s="25"/>
      <x:c r="J448" s="25"/>
      <x:c r="K448" s="25"/>
      <x:c r="L448" s="25"/>
      <x:c r="M448" s="25"/>
      <x:c r="N448" s="25"/>
      <x:c r="O448" s="25"/>
      <x:c r="P448" s="25"/>
      <x:c r="Q448" s="25"/>
      <x:c r="R448" s="25"/>
      <x:c r="S448" s="25"/>
      <x:c r="T448" s="25"/>
      <x:c r="U448" s="25"/>
      <x:c r="V448" s="25"/>
      <x:c r="W448" s="25"/>
      <x:c r="X448" s="25"/>
      <x:c r="Y448" s="25"/>
      <x:c r="Z448" s="25"/>
    </x:row>
    <x:row r="449">
      <x:c r="A449" s="25"/>
      <x:c r="B449" s="25"/>
      <x:c r="C449" s="25"/>
      <x:c r="D449" s="25"/>
      <x:c r="E449" s="25"/>
      <x:c r="F449" s="25"/>
      <x:c r="G449" s="25"/>
      <x:c r="H449" s="25"/>
      <x:c r="I449" s="25"/>
      <x:c r="J449" s="25"/>
      <x:c r="K449" s="25"/>
      <x:c r="L449" s="25"/>
      <x:c r="M449" s="25"/>
      <x:c r="N449" s="25"/>
      <x:c r="O449" s="25"/>
      <x:c r="P449" s="25"/>
      <x:c r="Q449" s="25"/>
      <x:c r="R449" s="25"/>
      <x:c r="S449" s="25"/>
      <x:c r="T449" s="25"/>
      <x:c r="U449" s="25"/>
      <x:c r="V449" s="25"/>
      <x:c r="W449" s="25"/>
      <x:c r="X449" s="25"/>
      <x:c r="Y449" s="25"/>
      <x:c r="Z449" s="25"/>
    </x:row>
    <x:row r="450">
      <x:c r="A450" s="25"/>
      <x:c r="B450" s="25"/>
      <x:c r="C450" s="25"/>
      <x:c r="D450" s="25"/>
      <x:c r="E450" s="25"/>
      <x:c r="F450" s="25"/>
      <x:c r="G450" s="25"/>
      <x:c r="H450" s="25"/>
      <x:c r="I450" s="25"/>
      <x:c r="J450" s="25"/>
      <x:c r="K450" s="25"/>
      <x:c r="L450" s="25"/>
      <x:c r="M450" s="25"/>
      <x:c r="N450" s="25"/>
      <x:c r="O450" s="25"/>
      <x:c r="P450" s="25"/>
      <x:c r="Q450" s="25"/>
      <x:c r="R450" s="25"/>
      <x:c r="S450" s="25"/>
      <x:c r="T450" s="25"/>
      <x:c r="U450" s="25"/>
      <x:c r="V450" s="25"/>
      <x:c r="W450" s="25"/>
      <x:c r="X450" s="25"/>
      <x:c r="Y450" s="25"/>
      <x:c r="Z450" s="25"/>
    </x:row>
    <x:row r="451">
      <x:c r="A451" s="25"/>
      <x:c r="B451" s="25"/>
      <x:c r="C451" s="25"/>
      <x:c r="D451" s="25"/>
      <x:c r="E451" s="25"/>
      <x:c r="F451" s="25"/>
      <x:c r="G451" s="25"/>
      <x:c r="H451" s="25"/>
      <x:c r="I451" s="25"/>
      <x:c r="J451" s="25"/>
      <x:c r="K451" s="25"/>
      <x:c r="L451" s="25"/>
      <x:c r="M451" s="25"/>
      <x:c r="N451" s="25"/>
      <x:c r="O451" s="25"/>
      <x:c r="P451" s="25"/>
      <x:c r="Q451" s="25"/>
      <x:c r="R451" s="25"/>
      <x:c r="S451" s="25"/>
      <x:c r="T451" s="25"/>
      <x:c r="U451" s="25"/>
      <x:c r="V451" s="25"/>
      <x:c r="W451" s="25"/>
      <x:c r="X451" s="25"/>
      <x:c r="Y451" s="25"/>
      <x:c r="Z451" s="25"/>
    </x:row>
    <x:row r="452">
      <x:c r="A452" s="25"/>
      <x:c r="B452" s="25"/>
      <x:c r="C452" s="25"/>
      <x:c r="D452" s="25"/>
      <x:c r="E452" s="25"/>
      <x:c r="F452" s="25"/>
      <x:c r="G452" s="25"/>
      <x:c r="H452" s="25"/>
      <x:c r="I452" s="25"/>
      <x:c r="J452" s="25"/>
      <x:c r="K452" s="25"/>
      <x:c r="L452" s="25"/>
      <x:c r="M452" s="25"/>
      <x:c r="N452" s="25"/>
      <x:c r="O452" s="25"/>
      <x:c r="P452" s="25"/>
      <x:c r="Q452" s="25"/>
      <x:c r="R452" s="25"/>
      <x:c r="S452" s="25"/>
      <x:c r="T452" s="25"/>
      <x:c r="U452" s="25"/>
      <x:c r="V452" s="25"/>
      <x:c r="W452" s="25"/>
      <x:c r="X452" s="25"/>
      <x:c r="Y452" s="25"/>
      <x:c r="Z452" s="25"/>
    </x:row>
    <x:row r="453">
      <x:c r="A453" s="25"/>
      <x:c r="B453" s="25"/>
      <x:c r="C453" s="25"/>
      <x:c r="D453" s="25"/>
      <x:c r="E453" s="25"/>
      <x:c r="F453" s="25"/>
      <x:c r="G453" s="25"/>
      <x:c r="H453" s="25"/>
      <x:c r="I453" s="25"/>
      <x:c r="J453" s="25"/>
      <x:c r="K453" s="25"/>
      <x:c r="L453" s="25"/>
      <x:c r="M453" s="25"/>
      <x:c r="N453" s="25"/>
      <x:c r="O453" s="25"/>
      <x:c r="P453" s="25"/>
      <x:c r="Q453" s="25"/>
      <x:c r="R453" s="25"/>
      <x:c r="S453" s="25"/>
      <x:c r="T453" s="25"/>
      <x:c r="U453" s="25"/>
      <x:c r="V453" s="25"/>
      <x:c r="W453" s="25"/>
      <x:c r="X453" s="25"/>
      <x:c r="Y453" s="25"/>
      <x:c r="Z453" s="25"/>
    </x:row>
    <x:row r="454">
      <x:c r="A454" s="25"/>
      <x:c r="B454" s="25"/>
      <x:c r="C454" s="25"/>
      <x:c r="D454" s="25"/>
      <x:c r="E454" s="25"/>
      <x:c r="F454" s="25"/>
      <x:c r="G454" s="25"/>
      <x:c r="H454" s="25"/>
      <x:c r="I454" s="25"/>
      <x:c r="J454" s="25"/>
      <x:c r="K454" s="25"/>
      <x:c r="L454" s="25"/>
      <x:c r="M454" s="25"/>
      <x:c r="N454" s="25"/>
      <x:c r="O454" s="25"/>
      <x:c r="P454" s="25"/>
      <x:c r="Q454" s="25"/>
      <x:c r="R454" s="25"/>
      <x:c r="S454" s="25"/>
      <x:c r="T454" s="25"/>
      <x:c r="U454" s="25"/>
      <x:c r="V454" s="25"/>
      <x:c r="W454" s="25"/>
      <x:c r="X454" s="25"/>
      <x:c r="Y454" s="25"/>
      <x:c r="Z454" s="25"/>
    </x:row>
    <x:row r="455">
      <x:c r="A455" s="25"/>
      <x:c r="B455" s="25"/>
      <x:c r="C455" s="25"/>
      <x:c r="D455" s="25"/>
      <x:c r="E455" s="25"/>
      <x:c r="F455" s="25"/>
      <x:c r="G455" s="25"/>
      <x:c r="H455" s="25"/>
      <x:c r="I455" s="25"/>
      <x:c r="J455" s="25"/>
      <x:c r="K455" s="25"/>
      <x:c r="L455" s="25"/>
      <x:c r="M455" s="25"/>
      <x:c r="N455" s="25"/>
      <x:c r="O455" s="25"/>
      <x:c r="P455" s="25"/>
      <x:c r="Q455" s="25"/>
      <x:c r="R455" s="25"/>
      <x:c r="S455" s="25"/>
      <x:c r="T455" s="25"/>
      <x:c r="U455" s="25"/>
      <x:c r="V455" s="25"/>
      <x:c r="W455" s="25"/>
      <x:c r="X455" s="25"/>
      <x:c r="Y455" s="25"/>
      <x:c r="Z455" s="25"/>
    </x:row>
    <x:row r="456">
      <x:c r="A456" s="25"/>
      <x:c r="B456" s="25"/>
      <x:c r="C456" s="25"/>
      <x:c r="D456" s="25"/>
      <x:c r="E456" s="25"/>
      <x:c r="F456" s="25"/>
      <x:c r="G456" s="25"/>
      <x:c r="H456" s="25"/>
      <x:c r="I456" s="25"/>
      <x:c r="J456" s="25"/>
      <x:c r="K456" s="25"/>
      <x:c r="L456" s="25"/>
      <x:c r="M456" s="25"/>
      <x:c r="N456" s="25"/>
      <x:c r="O456" s="25"/>
      <x:c r="P456" s="25"/>
      <x:c r="Q456" s="25"/>
      <x:c r="R456" s="25"/>
      <x:c r="S456" s="25"/>
      <x:c r="T456" s="25"/>
      <x:c r="U456" s="25"/>
      <x:c r="V456" s="25"/>
      <x:c r="W456" s="25"/>
      <x:c r="X456" s="25"/>
      <x:c r="Y456" s="25"/>
      <x:c r="Z456" s="25"/>
    </x:row>
    <x:row r="457">
      <x:c r="A457" s="25"/>
      <x:c r="B457" s="25"/>
      <x:c r="C457" s="25"/>
      <x:c r="D457" s="25"/>
      <x:c r="E457" s="25"/>
      <x:c r="F457" s="25"/>
      <x:c r="G457" s="25"/>
      <x:c r="H457" s="25"/>
      <x:c r="I457" s="25"/>
      <x:c r="J457" s="25"/>
      <x:c r="K457" s="25"/>
      <x:c r="L457" s="25"/>
      <x:c r="M457" s="25"/>
      <x:c r="N457" s="25"/>
      <x:c r="O457" s="25"/>
      <x:c r="P457" s="25"/>
      <x:c r="Q457" s="25"/>
      <x:c r="R457" s="25"/>
      <x:c r="S457" s="25"/>
      <x:c r="T457" s="25"/>
      <x:c r="U457" s="25"/>
      <x:c r="V457" s="25"/>
      <x:c r="W457" s="25"/>
      <x:c r="X457" s="25"/>
      <x:c r="Y457" s="25"/>
      <x:c r="Z457" s="25"/>
    </x:row>
    <x:row r="458">
      <x:c r="A458" s="25"/>
      <x:c r="B458" s="25"/>
      <x:c r="C458" s="25"/>
      <x:c r="D458" s="25"/>
      <x:c r="E458" s="25"/>
      <x:c r="F458" s="25"/>
      <x:c r="G458" s="25"/>
      <x:c r="H458" s="25"/>
      <x:c r="I458" s="25"/>
      <x:c r="J458" s="25"/>
      <x:c r="K458" s="25"/>
      <x:c r="L458" s="25"/>
      <x:c r="M458" s="25"/>
      <x:c r="N458" s="25"/>
      <x:c r="O458" s="25"/>
      <x:c r="P458" s="25"/>
      <x:c r="Q458" s="25"/>
      <x:c r="R458" s="25"/>
      <x:c r="S458" s="25"/>
      <x:c r="T458" s="25"/>
      <x:c r="U458" s="25"/>
      <x:c r="V458" s="25"/>
      <x:c r="W458" s="25"/>
      <x:c r="X458" s="25"/>
      <x:c r="Y458" s="25"/>
      <x:c r="Z458" s="25"/>
    </x:row>
    <x:row r="459">
      <x:c r="A459" s="25"/>
      <x:c r="B459" s="25"/>
      <x:c r="C459" s="25"/>
      <x:c r="D459" s="25"/>
      <x:c r="E459" s="25"/>
      <x:c r="F459" s="25"/>
      <x:c r="G459" s="25"/>
      <x:c r="H459" s="25"/>
      <x:c r="I459" s="25"/>
      <x:c r="J459" s="25"/>
      <x:c r="K459" s="25"/>
      <x:c r="L459" s="25"/>
      <x:c r="M459" s="25"/>
      <x:c r="N459" s="25"/>
      <x:c r="O459" s="25"/>
      <x:c r="P459" s="25"/>
      <x:c r="Q459" s="25"/>
      <x:c r="R459" s="25"/>
      <x:c r="S459" s="25"/>
      <x:c r="T459" s="25"/>
      <x:c r="U459" s="25"/>
      <x:c r="V459" s="25"/>
      <x:c r="W459" s="25"/>
      <x:c r="X459" s="25"/>
      <x:c r="Y459" s="25"/>
      <x:c r="Z459" s="25"/>
    </x:row>
    <x:row r="460">
      <x:c r="A460" s="25"/>
      <x:c r="B460" s="25"/>
      <x:c r="C460" s="25"/>
      <x:c r="D460" s="25"/>
      <x:c r="E460" s="25"/>
      <x:c r="F460" s="25"/>
      <x:c r="G460" s="25"/>
      <x:c r="H460" s="25"/>
      <x:c r="I460" s="25"/>
      <x:c r="J460" s="25"/>
      <x:c r="K460" s="25"/>
      <x:c r="L460" s="25"/>
      <x:c r="M460" s="25"/>
      <x:c r="N460" s="25"/>
      <x:c r="O460" s="25"/>
      <x:c r="P460" s="25"/>
      <x:c r="Q460" s="25"/>
      <x:c r="R460" s="25"/>
      <x:c r="S460" s="25"/>
      <x:c r="T460" s="25"/>
      <x:c r="U460" s="25"/>
      <x:c r="V460" s="25"/>
      <x:c r="W460" s="25"/>
      <x:c r="X460" s="25"/>
      <x:c r="Y460" s="25"/>
      <x:c r="Z460" s="25"/>
    </x:row>
    <x:row r="461">
      <x:c r="A461" s="25"/>
      <x:c r="B461" s="25"/>
      <x:c r="C461" s="25"/>
      <x:c r="D461" s="25"/>
      <x:c r="E461" s="25"/>
      <x:c r="F461" s="25"/>
      <x:c r="G461" s="25"/>
      <x:c r="H461" s="25"/>
      <x:c r="I461" s="25"/>
      <x:c r="J461" s="25"/>
      <x:c r="K461" s="25"/>
      <x:c r="L461" s="25"/>
      <x:c r="M461" s="25"/>
      <x:c r="N461" s="25"/>
      <x:c r="O461" s="25"/>
      <x:c r="P461" s="25"/>
      <x:c r="Q461" s="25"/>
      <x:c r="R461" s="25"/>
      <x:c r="S461" s="25"/>
      <x:c r="T461" s="25"/>
      <x:c r="U461" s="25"/>
      <x:c r="V461" s="25"/>
      <x:c r="W461" s="25"/>
      <x:c r="X461" s="25"/>
      <x:c r="Y461" s="25"/>
      <x:c r="Z461" s="25"/>
    </x:row>
    <x:row r="462">
      <x:c r="A462" s="25"/>
      <x:c r="B462" s="25"/>
      <x:c r="C462" s="25"/>
      <x:c r="D462" s="25"/>
      <x:c r="E462" s="25"/>
      <x:c r="F462" s="25"/>
      <x:c r="G462" s="25"/>
      <x:c r="H462" s="25"/>
      <x:c r="I462" s="25"/>
      <x:c r="J462" s="25"/>
      <x:c r="K462" s="25"/>
      <x:c r="L462" s="25"/>
      <x:c r="M462" s="25"/>
      <x:c r="N462" s="25"/>
      <x:c r="O462" s="25"/>
      <x:c r="P462" s="25"/>
      <x:c r="Q462" s="25"/>
      <x:c r="R462" s="25"/>
      <x:c r="S462" s="25"/>
      <x:c r="T462" s="25"/>
      <x:c r="U462" s="25"/>
      <x:c r="V462" s="25"/>
      <x:c r="W462" s="25"/>
      <x:c r="X462" s="25"/>
      <x:c r="Y462" s="25"/>
      <x:c r="Z462" s="25"/>
    </x:row>
    <x:row r="463">
      <x:c r="A463" s="25"/>
      <x:c r="B463" s="25"/>
      <x:c r="C463" s="25"/>
      <x:c r="D463" s="25"/>
      <x:c r="E463" s="25"/>
      <x:c r="F463" s="25"/>
      <x:c r="G463" s="25"/>
      <x:c r="H463" s="25"/>
      <x:c r="I463" s="25"/>
      <x:c r="J463" s="25"/>
      <x:c r="K463" s="25"/>
      <x:c r="L463" s="25"/>
      <x:c r="M463" s="25"/>
      <x:c r="N463" s="25"/>
      <x:c r="O463" s="25"/>
      <x:c r="P463" s="25"/>
      <x:c r="Q463" s="25"/>
      <x:c r="R463" s="25"/>
      <x:c r="S463" s="25"/>
      <x:c r="T463" s="25"/>
      <x:c r="U463" s="25"/>
      <x:c r="V463" s="25"/>
      <x:c r="W463" s="25"/>
      <x:c r="X463" s="25"/>
      <x:c r="Y463" s="25"/>
      <x:c r="Z463" s="25"/>
    </x:row>
    <x:row r="464">
      <x:c r="A464" s="25"/>
      <x:c r="B464" s="25"/>
      <x:c r="C464" s="25"/>
      <x:c r="D464" s="25"/>
      <x:c r="E464" s="25"/>
      <x:c r="F464" s="25"/>
      <x:c r="G464" s="25"/>
      <x:c r="H464" s="25"/>
      <x:c r="I464" s="25"/>
      <x:c r="J464" s="25"/>
      <x:c r="K464" s="25"/>
      <x:c r="L464" s="25"/>
      <x:c r="M464" s="25"/>
      <x:c r="N464" s="25"/>
      <x:c r="O464" s="25"/>
      <x:c r="P464" s="25"/>
      <x:c r="Q464" s="25"/>
      <x:c r="R464" s="25"/>
      <x:c r="S464" s="25"/>
      <x:c r="T464" s="25"/>
      <x:c r="U464" s="25"/>
      <x:c r="V464" s="25"/>
      <x:c r="W464" s="25"/>
      <x:c r="X464" s="25"/>
      <x:c r="Y464" s="25"/>
      <x:c r="Z464" s="25"/>
    </x:row>
    <x:row r="465">
      <x:c r="A465" s="25"/>
      <x:c r="B465" s="25"/>
      <x:c r="C465" s="25"/>
      <x:c r="D465" s="25"/>
      <x:c r="E465" s="25"/>
      <x:c r="F465" s="25"/>
      <x:c r="G465" s="25"/>
      <x:c r="H465" s="25"/>
      <x:c r="I465" s="25"/>
      <x:c r="J465" s="25"/>
      <x:c r="K465" s="25"/>
      <x:c r="L465" s="25"/>
      <x:c r="M465" s="25"/>
      <x:c r="N465" s="25"/>
      <x:c r="O465" s="25"/>
      <x:c r="P465" s="25"/>
      <x:c r="Q465" s="25"/>
      <x:c r="R465" s="25"/>
      <x:c r="S465" s="25"/>
      <x:c r="T465" s="25"/>
      <x:c r="U465" s="25"/>
      <x:c r="V465" s="25"/>
      <x:c r="W465" s="25"/>
      <x:c r="X465" s="25"/>
      <x:c r="Y465" s="25"/>
      <x:c r="Z465" s="25"/>
    </x:row>
    <x:row r="466">
      <x:c r="A466" s="25"/>
      <x:c r="B466" s="25"/>
      <x:c r="C466" s="25"/>
      <x:c r="D466" s="25"/>
      <x:c r="E466" s="25"/>
      <x:c r="F466" s="25"/>
      <x:c r="G466" s="25"/>
      <x:c r="H466" s="25"/>
      <x:c r="I466" s="25"/>
      <x:c r="J466" s="25"/>
      <x:c r="K466" s="25"/>
      <x:c r="L466" s="25"/>
      <x:c r="M466" s="25"/>
      <x:c r="N466" s="25"/>
      <x:c r="O466" s="25"/>
      <x:c r="P466" s="25"/>
      <x:c r="Q466" s="25"/>
      <x:c r="R466" s="25"/>
      <x:c r="S466" s="25"/>
      <x:c r="T466" s="25"/>
      <x:c r="U466" s="25"/>
      <x:c r="V466" s="25"/>
      <x:c r="W466" s="25"/>
      <x:c r="X466" s="25"/>
      <x:c r="Y466" s="25"/>
      <x:c r="Z466" s="25"/>
    </x:row>
    <x:row r="467">
      <x:c r="A467" s="25"/>
      <x:c r="B467" s="25"/>
      <x:c r="C467" s="25"/>
      <x:c r="D467" s="25"/>
      <x:c r="E467" s="25"/>
      <x:c r="F467" s="25"/>
      <x:c r="G467" s="25"/>
      <x:c r="H467" s="25"/>
      <x:c r="I467" s="25"/>
      <x:c r="J467" s="25"/>
      <x:c r="K467" s="25"/>
      <x:c r="L467" s="25"/>
      <x:c r="M467" s="25"/>
      <x:c r="N467" s="25"/>
      <x:c r="O467" s="25"/>
      <x:c r="P467" s="25"/>
      <x:c r="Q467" s="25"/>
      <x:c r="R467" s="25"/>
      <x:c r="S467" s="25"/>
      <x:c r="T467" s="25"/>
      <x:c r="U467" s="25"/>
      <x:c r="V467" s="25"/>
      <x:c r="W467" s="25"/>
      <x:c r="X467" s="25"/>
      <x:c r="Y467" s="25"/>
      <x:c r="Z467" s="25"/>
    </x:row>
    <x:row r="468">
      <x:c r="A468" s="25"/>
      <x:c r="B468" s="25"/>
      <x:c r="C468" s="25"/>
      <x:c r="D468" s="25"/>
      <x:c r="E468" s="25"/>
      <x:c r="F468" s="25"/>
      <x:c r="G468" s="25"/>
      <x:c r="H468" s="25"/>
      <x:c r="I468" s="25"/>
      <x:c r="J468" s="25"/>
      <x:c r="K468" s="25"/>
      <x:c r="L468" s="25"/>
      <x:c r="M468" s="25"/>
      <x:c r="N468" s="25"/>
      <x:c r="O468" s="25"/>
      <x:c r="P468" s="25"/>
      <x:c r="Q468" s="25"/>
      <x:c r="R468" s="25"/>
      <x:c r="S468" s="25"/>
      <x:c r="T468" s="25"/>
      <x:c r="U468" s="25"/>
      <x:c r="V468" s="25"/>
      <x:c r="W468" s="25"/>
      <x:c r="X468" s="25"/>
      <x:c r="Y468" s="25"/>
      <x:c r="Z468" s="25"/>
    </x:row>
    <x:row r="469">
      <x:c r="A469" s="25"/>
      <x:c r="B469" s="25"/>
      <x:c r="C469" s="25"/>
      <x:c r="D469" s="25"/>
      <x:c r="E469" s="25"/>
      <x:c r="F469" s="25"/>
      <x:c r="G469" s="25"/>
      <x:c r="H469" s="25"/>
      <x:c r="I469" s="25"/>
      <x:c r="J469" s="25"/>
      <x:c r="K469" s="25"/>
      <x:c r="L469" s="25"/>
      <x:c r="M469" s="25"/>
      <x:c r="N469" s="25"/>
      <x:c r="O469" s="25"/>
      <x:c r="P469" s="25"/>
      <x:c r="Q469" s="25"/>
      <x:c r="R469" s="25"/>
      <x:c r="S469" s="25"/>
      <x:c r="T469" s="25"/>
      <x:c r="U469" s="25"/>
      <x:c r="V469" s="25"/>
      <x:c r="W469" s="25"/>
      <x:c r="X469" s="25"/>
      <x:c r="Y469" s="25"/>
      <x:c r="Z469" s="25"/>
    </x:row>
    <x:row r="470">
      <x:c r="A470" s="25"/>
      <x:c r="B470" s="25"/>
      <x:c r="C470" s="25"/>
      <x:c r="D470" s="25"/>
      <x:c r="E470" s="25"/>
      <x:c r="F470" s="25"/>
      <x:c r="G470" s="25"/>
      <x:c r="H470" s="25"/>
      <x:c r="I470" s="25"/>
      <x:c r="J470" s="25"/>
      <x:c r="K470" s="25"/>
      <x:c r="L470" s="25"/>
      <x:c r="M470" s="25"/>
      <x:c r="N470" s="25"/>
      <x:c r="O470" s="25"/>
      <x:c r="P470" s="25"/>
      <x:c r="Q470" s="25"/>
      <x:c r="R470" s="25"/>
      <x:c r="S470" s="25"/>
      <x:c r="T470" s="25"/>
      <x:c r="U470" s="25"/>
      <x:c r="V470" s="25"/>
      <x:c r="W470" s="25"/>
      <x:c r="X470" s="25"/>
      <x:c r="Y470" s="25"/>
      <x:c r="Z470" s="25"/>
    </x:row>
    <x:row r="471">
      <x:c r="A471" s="25"/>
      <x:c r="B471" s="25"/>
      <x:c r="C471" s="25"/>
      <x:c r="D471" s="25"/>
      <x:c r="E471" s="25"/>
      <x:c r="F471" s="25"/>
      <x:c r="G471" s="25"/>
      <x:c r="H471" s="25"/>
      <x:c r="I471" s="25"/>
      <x:c r="J471" s="25"/>
      <x:c r="K471" s="25"/>
      <x:c r="L471" s="25"/>
      <x:c r="M471" s="25"/>
      <x:c r="N471" s="25"/>
      <x:c r="O471" s="25"/>
      <x:c r="P471" s="25"/>
      <x:c r="Q471" s="25"/>
      <x:c r="R471" s="25"/>
      <x:c r="S471" s="25"/>
      <x:c r="T471" s="25"/>
      <x:c r="U471" s="25"/>
      <x:c r="V471" s="25"/>
      <x:c r="W471" s="25"/>
      <x:c r="X471" s="25"/>
      <x:c r="Y471" s="25"/>
      <x:c r="Z471" s="25"/>
    </x:row>
    <x:row r="472">
      <x:c r="A472" s="25"/>
      <x:c r="B472" s="25"/>
      <x:c r="C472" s="25"/>
      <x:c r="D472" s="25"/>
      <x:c r="E472" s="25"/>
      <x:c r="F472" s="25"/>
      <x:c r="G472" s="25"/>
      <x:c r="H472" s="25"/>
      <x:c r="I472" s="25"/>
      <x:c r="J472" s="25"/>
      <x:c r="K472" s="25"/>
      <x:c r="L472" s="25"/>
      <x:c r="M472" s="25"/>
      <x:c r="N472" s="25"/>
      <x:c r="O472" s="25"/>
      <x:c r="P472" s="25"/>
      <x:c r="Q472" s="25"/>
      <x:c r="R472" s="25"/>
      <x:c r="S472" s="25"/>
      <x:c r="T472" s="25"/>
      <x:c r="U472" s="25"/>
      <x:c r="V472" s="25"/>
      <x:c r="W472" s="25"/>
      <x:c r="X472" s="25"/>
      <x:c r="Y472" s="25"/>
      <x:c r="Z472" s="25"/>
    </x:row>
    <x:row r="473">
      <x:c r="A473" s="25"/>
      <x:c r="B473" s="25"/>
      <x:c r="C473" s="25"/>
      <x:c r="D473" s="25"/>
      <x:c r="E473" s="25"/>
      <x:c r="F473" s="25"/>
      <x:c r="G473" s="25"/>
      <x:c r="H473" s="25"/>
      <x:c r="I473" s="25"/>
      <x:c r="J473" s="25"/>
      <x:c r="K473" s="25"/>
      <x:c r="L473" s="25"/>
      <x:c r="M473" s="25"/>
      <x:c r="N473" s="25"/>
      <x:c r="O473" s="25"/>
      <x:c r="P473" s="25"/>
      <x:c r="Q473" s="25"/>
      <x:c r="R473" s="25"/>
      <x:c r="S473" s="25"/>
      <x:c r="T473" s="25"/>
      <x:c r="U473" s="25"/>
      <x:c r="V473" s="25"/>
      <x:c r="W473" s="25"/>
      <x:c r="X473" s="25"/>
      <x:c r="Y473" s="25"/>
      <x:c r="Z473" s="25"/>
    </x:row>
    <x:row r="474">
      <x:c r="A474" s="25"/>
      <x:c r="B474" s="25"/>
      <x:c r="C474" s="25"/>
      <x:c r="D474" s="25"/>
      <x:c r="E474" s="25"/>
      <x:c r="F474" s="25"/>
      <x:c r="G474" s="25"/>
      <x:c r="H474" s="25"/>
      <x:c r="I474" s="25"/>
      <x:c r="J474" s="25"/>
      <x:c r="K474" s="25"/>
      <x:c r="L474" s="25"/>
      <x:c r="M474" s="25"/>
      <x:c r="N474" s="25"/>
      <x:c r="O474" s="25"/>
      <x:c r="P474" s="25"/>
      <x:c r="Q474" s="25"/>
      <x:c r="R474" s="25"/>
      <x:c r="S474" s="25"/>
      <x:c r="T474" s="25"/>
      <x:c r="U474" s="25"/>
      <x:c r="V474" s="25"/>
      <x:c r="W474" s="25"/>
      <x:c r="X474" s="25"/>
      <x:c r="Y474" s="25"/>
      <x:c r="Z474" s="25"/>
    </x:row>
    <x:row r="475">
      <x:c r="A475" s="25"/>
      <x:c r="B475" s="25"/>
      <x:c r="C475" s="25"/>
      <x:c r="D475" s="25"/>
      <x:c r="E475" s="25"/>
      <x:c r="F475" s="25"/>
      <x:c r="G475" s="25"/>
      <x:c r="H475" s="25"/>
      <x:c r="I475" s="25"/>
      <x:c r="J475" s="25"/>
      <x:c r="K475" s="25"/>
      <x:c r="L475" s="25"/>
      <x:c r="M475" s="25"/>
      <x:c r="N475" s="25"/>
      <x:c r="O475" s="25"/>
      <x:c r="P475" s="25"/>
      <x:c r="Q475" s="25"/>
      <x:c r="R475" s="25"/>
      <x:c r="S475" s="25"/>
      <x:c r="T475" s="25"/>
      <x:c r="U475" s="25"/>
      <x:c r="V475" s="25"/>
      <x:c r="W475" s="25"/>
      <x:c r="X475" s="25"/>
      <x:c r="Y475" s="25"/>
      <x:c r="Z475" s="25"/>
    </x:row>
    <x:row r="476">
      <x:c r="A476" s="25"/>
      <x:c r="B476" s="25"/>
      <x:c r="C476" s="25"/>
      <x:c r="D476" s="25"/>
      <x:c r="E476" s="25"/>
      <x:c r="F476" s="25"/>
      <x:c r="G476" s="25"/>
      <x:c r="H476" s="25"/>
      <x:c r="I476" s="25"/>
      <x:c r="J476" s="25"/>
      <x:c r="K476" s="25"/>
      <x:c r="L476" s="25"/>
      <x:c r="M476" s="25"/>
      <x:c r="N476" s="25"/>
      <x:c r="O476" s="25"/>
      <x:c r="P476" s="25"/>
      <x:c r="Q476" s="25"/>
      <x:c r="R476" s="25"/>
      <x:c r="S476" s="25"/>
      <x:c r="T476" s="25"/>
      <x:c r="U476" s="25"/>
      <x:c r="V476" s="25"/>
      <x:c r="W476" s="25"/>
      <x:c r="X476" s="25"/>
      <x:c r="Y476" s="25"/>
      <x:c r="Z476" s="25"/>
    </x:row>
    <x:row r="477">
      <x:c r="A477" s="25"/>
      <x:c r="B477" s="25"/>
      <x:c r="C477" s="25"/>
      <x:c r="D477" s="25"/>
      <x:c r="E477" s="25"/>
      <x:c r="F477" s="25"/>
      <x:c r="G477" s="25"/>
      <x:c r="H477" s="25"/>
      <x:c r="I477" s="25"/>
      <x:c r="J477" s="25"/>
      <x:c r="K477" s="25"/>
      <x:c r="L477" s="25"/>
      <x:c r="M477" s="25"/>
      <x:c r="N477" s="25"/>
      <x:c r="O477" s="25"/>
      <x:c r="P477" s="25"/>
      <x:c r="Q477" s="25"/>
      <x:c r="R477" s="25"/>
      <x:c r="S477" s="25"/>
      <x:c r="T477" s="25"/>
      <x:c r="U477" s="25"/>
      <x:c r="V477" s="25"/>
      <x:c r="W477" s="25"/>
      <x:c r="X477" s="25"/>
      <x:c r="Y477" s="25"/>
      <x:c r="Z477" s="25"/>
    </x:row>
    <x:row r="478">
      <x:c r="A478" s="25"/>
      <x:c r="B478" s="25"/>
      <x:c r="C478" s="25"/>
      <x:c r="D478" s="25"/>
      <x:c r="E478" s="25"/>
      <x:c r="F478" s="25"/>
      <x:c r="G478" s="25"/>
      <x:c r="H478" s="25"/>
      <x:c r="I478" s="25"/>
      <x:c r="J478" s="25"/>
      <x:c r="K478" s="25"/>
      <x:c r="L478" s="25"/>
      <x:c r="M478" s="25"/>
      <x:c r="N478" s="25"/>
      <x:c r="O478" s="25"/>
      <x:c r="P478" s="25"/>
      <x:c r="Q478" s="25"/>
      <x:c r="R478" s="25"/>
      <x:c r="S478" s="25"/>
      <x:c r="T478" s="25"/>
      <x:c r="U478" s="25"/>
      <x:c r="V478" s="25"/>
      <x:c r="W478" s="25"/>
      <x:c r="X478" s="25"/>
      <x:c r="Y478" s="25"/>
      <x:c r="Z478" s="25"/>
    </x:row>
    <x:row r="479">
      <x:c r="A479" s="25"/>
      <x:c r="B479" s="25"/>
      <x:c r="C479" s="25"/>
      <x:c r="D479" s="25"/>
      <x:c r="E479" s="25"/>
      <x:c r="F479" s="25"/>
      <x:c r="G479" s="25"/>
      <x:c r="H479" s="25"/>
      <x:c r="I479" s="25"/>
      <x:c r="J479" s="25"/>
      <x:c r="K479" s="25"/>
      <x:c r="L479" s="25"/>
      <x:c r="M479" s="25"/>
      <x:c r="N479" s="25"/>
      <x:c r="O479" s="25"/>
      <x:c r="P479" s="25"/>
      <x:c r="Q479" s="25"/>
      <x:c r="R479" s="25"/>
      <x:c r="S479" s="25"/>
      <x:c r="T479" s="25"/>
      <x:c r="U479" s="25"/>
      <x:c r="V479" s="25"/>
      <x:c r="W479" s="25"/>
      <x:c r="X479" s="25"/>
      <x:c r="Y479" s="25"/>
      <x:c r="Z479" s="25"/>
    </x:row>
    <x:row r="480">
      <x:c r="A480" s="25"/>
      <x:c r="B480" s="25"/>
      <x:c r="C480" s="25"/>
      <x:c r="D480" s="25"/>
      <x:c r="E480" s="25"/>
      <x:c r="F480" s="25"/>
      <x:c r="G480" s="25"/>
      <x:c r="H480" s="25"/>
      <x:c r="I480" s="25"/>
      <x:c r="J480" s="25"/>
      <x:c r="K480" s="25"/>
      <x:c r="L480" s="25"/>
      <x:c r="M480" s="25"/>
      <x:c r="N480" s="25"/>
      <x:c r="O480" s="25"/>
      <x:c r="P480" s="25"/>
      <x:c r="Q480" s="25"/>
      <x:c r="R480" s="25"/>
      <x:c r="S480" s="25"/>
      <x:c r="T480" s="25"/>
      <x:c r="U480" s="25"/>
      <x:c r="V480" s="25"/>
      <x:c r="W480" s="25"/>
      <x:c r="X480" s="25"/>
      <x:c r="Y480" s="25"/>
      <x:c r="Z480" s="25"/>
    </x:row>
    <x:row r="481">
      <x:c r="A481" s="25"/>
      <x:c r="B481" s="25"/>
      <x:c r="C481" s="25"/>
      <x:c r="D481" s="25"/>
      <x:c r="E481" s="25"/>
      <x:c r="F481" s="25"/>
      <x:c r="G481" s="25"/>
      <x:c r="H481" s="25"/>
      <x:c r="I481" s="25"/>
      <x:c r="J481" s="25"/>
      <x:c r="K481" s="25"/>
      <x:c r="L481" s="25"/>
      <x:c r="M481" s="25"/>
      <x:c r="N481" s="25"/>
      <x:c r="O481" s="25"/>
      <x:c r="P481" s="25"/>
      <x:c r="Q481" s="25"/>
      <x:c r="R481" s="25"/>
      <x:c r="S481" s="25"/>
      <x:c r="T481" s="25"/>
      <x:c r="U481" s="25"/>
      <x:c r="V481" s="25"/>
      <x:c r="W481" s="25"/>
      <x:c r="X481" s="25"/>
      <x:c r="Y481" s="25"/>
      <x:c r="Z481" s="25"/>
    </x:row>
    <x:row r="482">
      <x:c r="A482" s="25"/>
      <x:c r="B482" s="25"/>
      <x:c r="C482" s="25"/>
      <x:c r="D482" s="25"/>
      <x:c r="E482" s="25"/>
      <x:c r="F482" s="25"/>
      <x:c r="G482" s="25"/>
      <x:c r="H482" s="25"/>
      <x:c r="I482" s="25"/>
      <x:c r="J482" s="25"/>
      <x:c r="K482" s="25"/>
      <x:c r="L482" s="25"/>
      <x:c r="M482" s="25"/>
      <x:c r="N482" s="25"/>
      <x:c r="O482" s="25"/>
      <x:c r="P482" s="25"/>
      <x:c r="Q482" s="25"/>
      <x:c r="R482" s="25"/>
      <x:c r="S482" s="25"/>
      <x:c r="T482" s="25"/>
      <x:c r="U482" s="25"/>
      <x:c r="V482" s="25"/>
      <x:c r="W482" s="25"/>
      <x:c r="X482" s="25"/>
      <x:c r="Y482" s="25"/>
      <x:c r="Z482" s="25"/>
    </x:row>
    <x:row r="483">
      <x:c r="A483" s="25"/>
      <x:c r="B483" s="25"/>
      <x:c r="C483" s="25"/>
      <x:c r="D483" s="25"/>
      <x:c r="E483" s="25"/>
      <x:c r="F483" s="25"/>
      <x:c r="G483" s="25"/>
      <x:c r="H483" s="25"/>
      <x:c r="I483" s="25"/>
      <x:c r="J483" s="25"/>
      <x:c r="K483" s="25"/>
      <x:c r="L483" s="25"/>
      <x:c r="M483" s="25"/>
      <x:c r="N483" s="25"/>
      <x:c r="O483" s="25"/>
      <x:c r="P483" s="25"/>
      <x:c r="Q483" s="25"/>
      <x:c r="R483" s="25"/>
      <x:c r="S483" s="25"/>
      <x:c r="T483" s="25"/>
      <x:c r="U483" s="25"/>
      <x:c r="V483" s="25"/>
      <x:c r="W483" s="25"/>
      <x:c r="X483" s="25"/>
      <x:c r="Y483" s="25"/>
      <x:c r="Z483" s="25"/>
    </x:row>
    <x:row r="484">
      <x:c r="A484" s="25"/>
      <x:c r="B484" s="25"/>
      <x:c r="C484" s="25"/>
      <x:c r="D484" s="25"/>
      <x:c r="E484" s="25"/>
      <x:c r="F484" s="25"/>
      <x:c r="G484" s="25"/>
      <x:c r="H484" s="25"/>
      <x:c r="I484" s="25"/>
      <x:c r="J484" s="25"/>
      <x:c r="K484" s="25"/>
      <x:c r="L484" s="25"/>
      <x:c r="M484" s="25"/>
      <x:c r="N484" s="25"/>
      <x:c r="O484" s="25"/>
      <x:c r="P484" s="25"/>
      <x:c r="Q484" s="25"/>
      <x:c r="R484" s="25"/>
      <x:c r="S484" s="25"/>
      <x:c r="T484" s="25"/>
      <x:c r="U484" s="25"/>
      <x:c r="V484" s="25"/>
      <x:c r="W484" s="25"/>
      <x:c r="X484" s="25"/>
      <x:c r="Y484" s="25"/>
      <x:c r="Z484" s="25"/>
    </x:row>
    <x:row r="485">
      <x:c r="A485" s="25"/>
      <x:c r="B485" s="25"/>
      <x:c r="C485" s="25"/>
      <x:c r="D485" s="25"/>
      <x:c r="E485" s="25"/>
      <x:c r="F485" s="25"/>
      <x:c r="G485" s="25"/>
      <x:c r="H485" s="25"/>
      <x:c r="I485" s="25"/>
      <x:c r="J485" s="25"/>
      <x:c r="K485" s="25"/>
      <x:c r="L485" s="25"/>
      <x:c r="M485" s="25"/>
      <x:c r="N485" s="25"/>
      <x:c r="O485" s="25"/>
      <x:c r="P485" s="25"/>
      <x:c r="Q485" s="25"/>
      <x:c r="R485" s="25"/>
      <x:c r="S485" s="25"/>
      <x:c r="T485" s="25"/>
      <x:c r="U485" s="25"/>
      <x:c r="V485" s="25"/>
      <x:c r="W485" s="25"/>
      <x:c r="X485" s="25"/>
      <x:c r="Y485" s="25"/>
      <x:c r="Z485" s="25"/>
    </x:row>
    <x:row r="486">
      <x:c r="A486" s="25"/>
      <x:c r="B486" s="25"/>
      <x:c r="C486" s="25"/>
      <x:c r="D486" s="25"/>
      <x:c r="E486" s="25"/>
      <x:c r="F486" s="25"/>
      <x:c r="G486" s="25"/>
      <x:c r="H486" s="25"/>
      <x:c r="I486" s="25"/>
      <x:c r="J486" s="25"/>
      <x:c r="K486" s="25"/>
      <x:c r="L486" s="25"/>
      <x:c r="M486" s="25"/>
      <x:c r="N486" s="25"/>
      <x:c r="O486" s="25"/>
      <x:c r="P486" s="25"/>
      <x:c r="Q486" s="25"/>
      <x:c r="R486" s="25"/>
      <x:c r="S486" s="25"/>
      <x:c r="T486" s="25"/>
      <x:c r="U486" s="25"/>
      <x:c r="V486" s="25"/>
      <x:c r="W486" s="25"/>
      <x:c r="X486" s="25"/>
      <x:c r="Y486" s="25"/>
      <x:c r="Z486" s="25"/>
    </x:row>
    <x:row r="487">
      <x:c r="A487" s="25"/>
      <x:c r="B487" s="25"/>
      <x:c r="C487" s="25"/>
      <x:c r="D487" s="25"/>
      <x:c r="E487" s="25"/>
      <x:c r="F487" s="25"/>
      <x:c r="G487" s="25"/>
      <x:c r="H487" s="25"/>
      <x:c r="I487" s="25"/>
      <x:c r="J487" s="25"/>
      <x:c r="K487" s="25"/>
      <x:c r="L487" s="25"/>
      <x:c r="M487" s="25"/>
      <x:c r="N487" s="25"/>
      <x:c r="O487" s="25"/>
      <x:c r="P487" s="25"/>
      <x:c r="Q487" s="25"/>
      <x:c r="R487" s="25"/>
      <x:c r="S487" s="25"/>
      <x:c r="T487" s="25"/>
      <x:c r="U487" s="25"/>
      <x:c r="V487" s="25"/>
      <x:c r="W487" s="25"/>
      <x:c r="X487" s="25"/>
      <x:c r="Y487" s="25"/>
      <x:c r="Z487" s="25"/>
    </x:row>
    <x:row r="488">
      <x:c r="A488" s="25"/>
      <x:c r="B488" s="25"/>
      <x:c r="C488" s="25"/>
      <x:c r="D488" s="25"/>
      <x:c r="E488" s="25"/>
      <x:c r="F488" s="25"/>
      <x:c r="G488" s="25"/>
      <x:c r="H488" s="25"/>
      <x:c r="I488" s="25"/>
      <x:c r="J488" s="25"/>
      <x:c r="K488" s="25"/>
      <x:c r="L488" s="25"/>
      <x:c r="M488" s="25"/>
      <x:c r="N488" s="25"/>
      <x:c r="O488" s="25"/>
      <x:c r="P488" s="25"/>
      <x:c r="Q488" s="25"/>
      <x:c r="R488" s="25"/>
      <x:c r="S488" s="25"/>
      <x:c r="T488" s="25"/>
      <x:c r="U488" s="25"/>
      <x:c r="V488" s="25"/>
      <x:c r="W488" s="25"/>
      <x:c r="X488" s="25"/>
      <x:c r="Y488" s="25"/>
      <x:c r="Z488" s="25"/>
    </x:row>
    <x:row r="489">
      <x:c r="A489" s="25"/>
      <x:c r="B489" s="25"/>
      <x:c r="C489" s="25"/>
      <x:c r="D489" s="25"/>
      <x:c r="E489" s="25"/>
      <x:c r="F489" s="25"/>
      <x:c r="G489" s="25"/>
      <x:c r="H489" s="25"/>
      <x:c r="I489" s="25"/>
      <x:c r="J489" s="25"/>
      <x:c r="K489" s="25"/>
      <x:c r="L489" s="25"/>
      <x:c r="M489" s="25"/>
      <x:c r="N489" s="25"/>
      <x:c r="O489" s="25"/>
      <x:c r="P489" s="25"/>
      <x:c r="Q489" s="25"/>
      <x:c r="R489" s="25"/>
      <x:c r="S489" s="25"/>
      <x:c r="T489" s="25"/>
      <x:c r="U489" s="25"/>
      <x:c r="V489" s="25"/>
      <x:c r="W489" s="25"/>
      <x:c r="X489" s="25"/>
      <x:c r="Y489" s="25"/>
      <x:c r="Z489" s="25"/>
    </x:row>
    <x:row r="490">
      <x:c r="A490" s="25"/>
      <x:c r="B490" s="25"/>
      <x:c r="C490" s="25"/>
      <x:c r="D490" s="25"/>
      <x:c r="E490" s="25"/>
      <x:c r="F490" s="25"/>
      <x:c r="G490" s="25"/>
      <x:c r="H490" s="25"/>
      <x:c r="I490" s="25"/>
      <x:c r="J490" s="25"/>
      <x:c r="K490" s="25"/>
      <x:c r="L490" s="25"/>
      <x:c r="M490" s="25"/>
      <x:c r="N490" s="25"/>
      <x:c r="O490" s="25"/>
      <x:c r="P490" s="25"/>
      <x:c r="Q490" s="25"/>
      <x:c r="R490" s="25"/>
      <x:c r="S490" s="25"/>
      <x:c r="T490" s="25"/>
      <x:c r="U490" s="25"/>
      <x:c r="V490" s="25"/>
      <x:c r="W490" s="25"/>
      <x:c r="X490" s="25"/>
      <x:c r="Y490" s="25"/>
      <x:c r="Z490" s="25"/>
    </x:row>
    <x:row r="491">
      <x:c r="A491" s="25"/>
      <x:c r="B491" s="25"/>
      <x:c r="C491" s="25"/>
      <x:c r="D491" s="25"/>
      <x:c r="E491" s="25"/>
      <x:c r="F491" s="25"/>
      <x:c r="G491" s="25"/>
      <x:c r="H491" s="25"/>
      <x:c r="I491" s="25"/>
      <x:c r="J491" s="25"/>
      <x:c r="K491" s="25"/>
      <x:c r="L491" s="25"/>
      <x:c r="M491" s="25"/>
      <x:c r="N491" s="25"/>
      <x:c r="O491" s="25"/>
      <x:c r="P491" s="25"/>
      <x:c r="Q491" s="25"/>
      <x:c r="R491" s="25"/>
      <x:c r="S491" s="25"/>
      <x:c r="T491" s="25"/>
      <x:c r="U491" s="25"/>
      <x:c r="V491" s="25"/>
      <x:c r="W491" s="25"/>
      <x:c r="X491" s="25"/>
      <x:c r="Y491" s="25"/>
      <x:c r="Z491" s="25"/>
    </x:row>
    <x:row r="492">
      <x:c r="A492" s="25"/>
      <x:c r="B492" s="25"/>
      <x:c r="C492" s="25"/>
      <x:c r="D492" s="25"/>
      <x:c r="E492" s="25"/>
      <x:c r="F492" s="25"/>
      <x:c r="G492" s="25"/>
      <x:c r="H492" s="25"/>
      <x:c r="I492" s="25"/>
      <x:c r="J492" s="25"/>
      <x:c r="K492" s="25"/>
      <x:c r="L492" s="25"/>
      <x:c r="M492" s="25"/>
      <x:c r="N492" s="25"/>
      <x:c r="O492" s="25"/>
      <x:c r="P492" s="25"/>
      <x:c r="Q492" s="25"/>
      <x:c r="R492" s="25"/>
      <x:c r="S492" s="25"/>
      <x:c r="T492" s="25"/>
      <x:c r="U492" s="25"/>
      <x:c r="V492" s="25"/>
      <x:c r="W492" s="25"/>
      <x:c r="X492" s="25"/>
      <x:c r="Y492" s="25"/>
      <x:c r="Z492" s="25"/>
    </x:row>
    <x:row r="493">
      <x:c r="A493" s="25"/>
      <x:c r="B493" s="25"/>
      <x:c r="C493" s="25"/>
      <x:c r="D493" s="25"/>
      <x:c r="E493" s="25"/>
      <x:c r="F493" s="25"/>
      <x:c r="G493" s="25"/>
      <x:c r="H493" s="25"/>
      <x:c r="I493" s="25"/>
      <x:c r="J493" s="25"/>
      <x:c r="K493" s="25"/>
      <x:c r="L493" s="25"/>
      <x:c r="M493" s="25"/>
      <x:c r="N493" s="25"/>
      <x:c r="O493" s="25"/>
      <x:c r="P493" s="25"/>
      <x:c r="Q493" s="25"/>
      <x:c r="R493" s="25"/>
      <x:c r="S493" s="25"/>
      <x:c r="T493" s="25"/>
      <x:c r="U493" s="25"/>
      <x:c r="V493" s="25"/>
      <x:c r="W493" s="25"/>
      <x:c r="X493" s="25"/>
      <x:c r="Y493" s="25"/>
      <x:c r="Z493" s="25"/>
    </x:row>
    <x:row r="494">
      <x:c r="A494" s="25"/>
      <x:c r="B494" s="25"/>
      <x:c r="C494" s="25"/>
      <x:c r="D494" s="25"/>
      <x:c r="E494" s="25"/>
      <x:c r="F494" s="25"/>
      <x:c r="G494" s="25"/>
      <x:c r="H494" s="25"/>
      <x:c r="I494" s="25"/>
      <x:c r="J494" s="25"/>
      <x:c r="K494" s="25"/>
      <x:c r="L494" s="25"/>
      <x:c r="M494" s="25"/>
      <x:c r="N494" s="25"/>
      <x:c r="O494" s="25"/>
      <x:c r="P494" s="25"/>
      <x:c r="Q494" s="25"/>
      <x:c r="R494" s="25"/>
      <x:c r="S494" s="25"/>
      <x:c r="T494" s="25"/>
      <x:c r="U494" s="25"/>
      <x:c r="V494" s="25"/>
      <x:c r="W494" s="25"/>
      <x:c r="X494" s="25"/>
      <x:c r="Y494" s="25"/>
      <x:c r="Z494" s="25"/>
    </x:row>
    <x:row r="495">
      <x:c r="A495" s="25"/>
      <x:c r="B495" s="25"/>
      <x:c r="C495" s="25"/>
      <x:c r="D495" s="25"/>
      <x:c r="E495" s="25"/>
      <x:c r="F495" s="25"/>
      <x:c r="G495" s="25"/>
      <x:c r="H495" s="25"/>
      <x:c r="I495" s="25"/>
      <x:c r="J495" s="25"/>
      <x:c r="K495" s="25"/>
      <x:c r="L495" s="25"/>
      <x:c r="M495" s="25"/>
      <x:c r="N495" s="25"/>
      <x:c r="O495" s="25"/>
      <x:c r="P495" s="25"/>
      <x:c r="Q495" s="25"/>
      <x:c r="R495" s="25"/>
      <x:c r="S495" s="25"/>
      <x:c r="T495" s="25"/>
      <x:c r="U495" s="25"/>
      <x:c r="V495" s="25"/>
      <x:c r="W495" s="25"/>
      <x:c r="X495" s="25"/>
      <x:c r="Y495" s="25"/>
      <x:c r="Z495" s="25"/>
    </x:row>
    <x:row r="496">
      <x:c r="A496" s="25"/>
      <x:c r="B496" s="25"/>
      <x:c r="C496" s="25"/>
      <x:c r="D496" s="25"/>
      <x:c r="E496" s="25"/>
      <x:c r="F496" s="25"/>
      <x:c r="G496" s="25"/>
      <x:c r="H496" s="25"/>
      <x:c r="I496" s="25"/>
      <x:c r="J496" s="25"/>
      <x:c r="K496" s="25"/>
      <x:c r="L496" s="25"/>
      <x:c r="M496" s="25"/>
      <x:c r="N496" s="25"/>
      <x:c r="O496" s="25"/>
      <x:c r="P496" s="25"/>
      <x:c r="Q496" s="25"/>
      <x:c r="R496" s="25"/>
      <x:c r="S496" s="25"/>
      <x:c r="T496" s="25"/>
      <x:c r="U496" s="25"/>
      <x:c r="V496" s="25"/>
      <x:c r="W496" s="25"/>
      <x:c r="X496" s="25"/>
      <x:c r="Y496" s="25"/>
      <x:c r="Z496" s="25"/>
    </x:row>
    <x:row r="497">
      <x:c r="A497" s="25"/>
      <x:c r="B497" s="25"/>
      <x:c r="C497" s="25"/>
      <x:c r="D497" s="25"/>
      <x:c r="E497" s="25"/>
      <x:c r="F497" s="25"/>
      <x:c r="G497" s="25"/>
      <x:c r="H497" s="25"/>
      <x:c r="I497" s="25"/>
      <x:c r="J497" s="25"/>
      <x:c r="K497" s="25"/>
      <x:c r="L497" s="25"/>
      <x:c r="M497" s="25"/>
      <x:c r="N497" s="25"/>
      <x:c r="O497" s="25"/>
      <x:c r="P497" s="25"/>
      <x:c r="Q497" s="25"/>
      <x:c r="R497" s="25"/>
      <x:c r="S497" s="25"/>
      <x:c r="T497" s="25"/>
      <x:c r="U497" s="25"/>
      <x:c r="V497" s="25"/>
      <x:c r="W497" s="25"/>
      <x:c r="X497" s="25"/>
      <x:c r="Y497" s="25"/>
      <x:c r="Z497" s="25"/>
    </x:row>
    <x:row r="498">
      <x:c r="A498" s="25"/>
      <x:c r="B498" s="25"/>
      <x:c r="C498" s="25"/>
      <x:c r="D498" s="25"/>
      <x:c r="E498" s="25"/>
      <x:c r="F498" s="25"/>
      <x:c r="G498" s="25"/>
      <x:c r="H498" s="25"/>
      <x:c r="I498" s="25"/>
      <x:c r="J498" s="25"/>
      <x:c r="K498" s="25"/>
      <x:c r="L498" s="25"/>
      <x:c r="M498" s="25"/>
      <x:c r="N498" s="25"/>
      <x:c r="O498" s="25"/>
      <x:c r="P498" s="25"/>
      <x:c r="Q498" s="25"/>
      <x:c r="R498" s="25"/>
      <x:c r="S498" s="25"/>
      <x:c r="T498" s="25"/>
      <x:c r="U498" s="25"/>
      <x:c r="V498" s="25"/>
      <x:c r="W498" s="25"/>
      <x:c r="X498" s="25"/>
      <x:c r="Y498" s="25"/>
      <x:c r="Z498" s="25"/>
    </x:row>
    <x:row r="499">
      <x:c r="A499" s="25"/>
      <x:c r="B499" s="25"/>
      <x:c r="C499" s="25"/>
      <x:c r="D499" s="25"/>
      <x:c r="E499" s="25"/>
      <x:c r="F499" s="25"/>
      <x:c r="G499" s="25"/>
      <x:c r="H499" s="25"/>
      <x:c r="I499" s="25"/>
      <x:c r="J499" s="25"/>
      <x:c r="K499" s="25"/>
      <x:c r="L499" s="25"/>
      <x:c r="M499" s="25"/>
      <x:c r="N499" s="25"/>
      <x:c r="O499" s="25"/>
      <x:c r="P499" s="25"/>
      <x:c r="Q499" s="25"/>
      <x:c r="R499" s="25"/>
      <x:c r="S499" s="25"/>
      <x:c r="T499" s="25"/>
      <x:c r="U499" s="25"/>
      <x:c r="V499" s="25"/>
      <x:c r="W499" s="25"/>
      <x:c r="X499" s="25"/>
      <x:c r="Y499" s="25"/>
      <x:c r="Z499" s="25"/>
    </x:row>
    <x:row r="500">
      <x:c r="A500" s="25"/>
      <x:c r="B500" s="25"/>
      <x:c r="C500" s="25"/>
      <x:c r="D500" s="25"/>
      <x:c r="E500" s="25"/>
      <x:c r="F500" s="25"/>
      <x:c r="G500" s="25"/>
      <x:c r="H500" s="25"/>
      <x:c r="I500" s="25"/>
      <x:c r="J500" s="25"/>
      <x:c r="K500" s="25"/>
      <x:c r="L500" s="25"/>
      <x:c r="M500" s="25"/>
      <x:c r="N500" s="25"/>
      <x:c r="O500" s="25"/>
      <x:c r="P500" s="25"/>
      <x:c r="Q500" s="25"/>
      <x:c r="R500" s="25"/>
      <x:c r="S500" s="25"/>
      <x:c r="T500" s="25"/>
      <x:c r="U500" s="25"/>
      <x:c r="V500" s="25"/>
      <x:c r="W500" s="25"/>
      <x:c r="X500" s="25"/>
      <x:c r="Y500" s="25"/>
      <x:c r="Z500" s="25"/>
    </x:row>
  </x:sheetData>
  <x:pageMargins left="0.7" right="0.7" top="0.75" bottom="0.75" header="0.3" footer="0.3"/>
  <x:tableParts count="1">
    <x:tablePart xmlns:r="http://schemas.openxmlformats.org/officeDocument/2006/relationships" r:id="Re1a1aa164cb043f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38" hidden="0" customWidth="1"/>
    <x:col min="4" max="4" width="48" hidden="0" customWidth="1"/>
    <x:col min="5" max="5" width="10" hidden="0" customWidth="1"/>
    <x:col min="6" max="6" width="18" hidden="0" customWidth="1"/>
    <x:col min="7" max="7" width="32" hidden="0" customWidth="1"/>
    <x:col min="8" max="8" width="42" hidden="0" customWidth="1"/>
  </x:cols>
  <x:sheetData>
    <x:row r="1">
      <x:c r="A1" s="26" t="str">
        <x:v>Stage</x:v>
      </x:c>
      <x:c r="B1" s="26" t="str">
        <x:v>Objective</x:v>
      </x:c>
      <x:c r="C1" s="26" t="str">
        <x:v>Entry Criterion</x:v>
      </x:c>
      <x:c r="D1" s="26" t="str">
        <x:v>Exit Gate</x:v>
      </x:c>
      <x:c r="E1" s="26" t="str">
        <x:v>Features</x:v>
      </x:c>
      <x:c r="F1" s="26" t="str">
        <x:v>User Frequency</x:v>
      </x:c>
      <x:c r="G1" s="26" t="str">
        <x:v>Primary Data Asset</x:v>
      </x:c>
      <x:c r="H1" s="26" t="str">
        <x:v>Do NOT add</x:v>
      </x:c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s="14" t="str">
        <x:v>v0.1</x:v>
      </x:c>
      <x:c r="B2" s="14" t="str">
        <x:v>三角MVP：Identity/Timeline + Daily/Care + Behavior/Health</x:v>
      </x:c>
      <x:c r="C2" s="14" t="str">
        <x:v>可创建Pet ID与家庭；统一Event Graph可写入</x:v>
      </x:c>
      <x:c r="D2" s="14" t="str">
        <x:v>家庭可连续使用2-4周；健康/行为事件可完整回流；关键安全规则通过</x:v>
      </x:c>
      <x:c r="E2" s="14" t="str">
        <x:v>50</x:v>
      </x:c>
      <x:c r="F2" s="14" t="str">
        <x:v>Daily</x:v>
      </x:c>
      <x:c r="G2" s="14" t="str">
        <x:v>Pet Life Event + provenance + outcome</x:v>
      </x:c>
      <x:c r="H2" s="14" t="str">
        <x:v>商城、公开Feed、Marketplace、自研硬件</x:v>
      </x:c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</x:row>
    <x:row r="3">
      <x:c r="A3" s="14" t="str">
        <x:v>v0.2</x:v>
      </x:c>
      <x:c r="B3" s="14" t="str">
        <x:v>建立个体化使用：训练/行为、语义搜索、家庭交接、轻量基线</x:v>
      </x:c>
      <x:c r="C3" s="14" t="str">
        <x:v>v0.1留存与事件完整率达标</x:v>
      </x:c>
      <x:c r="D3" s="14" t="str">
        <x:v>能回答关于这只宠物的历史；形成训练/行为/照护连续数据</x:v>
      </x:c>
      <x:c r="E3" s="14" t="str">
        <x:v>48</x:v>
      </x:c>
      <x:c r="F3" s="14" t="str">
        <x:v>Daily/Weekly</x:v>
      </x:c>
      <x:c r="G3" s="14" t="str">
        <x:v>Behavior/Training + Care Network</x:v>
      </x:c>
      <x:c r="H3" s="14" t="str">
        <x:v>大规模交易、伪精确情绪/好友评分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14" t="str">
        <x:v>v1.0</x:v>
      </x:c>
      <x:c r="B4" s="14" t="str">
        <x:v>跨域平台：设备、服务、社交、福利、保险/营养连接</x:v>
      </x:c>
      <x:c r="C4" s="14" t="str">
        <x:v>至少一类设备/一个专业服务合作可验证</x:v>
      </x:c>
      <x:c r="D4" s="14" t="str">
        <x:v>跨域事件统一；服务和设备Outcome回流；专业端认可数据价值</x:v>
      </x:c>
      <x:c r="E4" s="14" t="str">
        <x:v>88</x:v>
      </x:c>
      <x:c r="F4" s="14" t="str">
        <x:v>Daily/Monthly</x:v>
      </x:c>
      <x:c r="G4" s="14" t="str">
        <x:v>Cross-domain outcome graph</x:v>
      </x:c>
      <x:c r="H4" s="14" t="str">
        <x:v>一次性做全国Marketplace、自动医疗决策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14" t="str">
        <x:v>Future</x:v>
      </x:c>
      <x:c r="B5" s="14" t="str">
        <x:v>生命智能：领养、长寿、多组学、复杂Agent、Life Archive</x:v>
      </x:c>
      <x:c r="C5" s="14" t="str">
        <x:v>已有多年/高质量纵向数据与稳定治理</x:v>
      </x:c>
      <x:c r="D5" s="14" t="str">
        <x:v>能做可解释预测研究而非概念Demo</x:v>
      </x:c>
      <x:c r="E5" s="14" t="str">
        <x:v>42</x:v>
      </x:c>
      <x:c r="F5" s="14" t="str">
        <x:v>Lifecycle</x:v>
      </x:c>
      <x:c r="G5" s="14" t="str">
        <x:v>Longitudinal Pet Life Graph</x:v>
      </x:c>
      <x:c r="H5" s="14" t="str">
        <x:v>无Outcome支撑的Digital Twin营销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25"/>
      <x:c r="B6" s="25"/>
      <x:c r="C6" s="25"/>
      <x:c r="D6" s="25"/>
      <x:c r="E6" s="25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25"/>
      <x:c r="B7" s="25"/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26" t="str">
        <x:v>Domain</x:v>
      </x:c>
      <x:c r="B8" s="26" t="str">
        <x:v>v0.1</x:v>
      </x:c>
      <x:c r="C8" s="26" t="str">
        <x:v>v0.2</x:v>
      </x:c>
      <x:c r="D8" s="26" t="str">
        <x:v>v1.0</x:v>
      </x:c>
      <x:c r="E8" s="26" t="str">
        <x:v>Future</x:v>
      </x:c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14" t="str">
        <x:v>01 Identity &amp; Permissions</x:v>
      </x:c>
      <x:c r="B9" s="14" t="n">
        <x:f>COUNTIFS('Feature Inventory'!B2:B500,A9,'Feature Inventory'!K2:K500,"v0.1")</x:f>
        <x:v>8</x:v>
      </x:c>
      <x:c r="C9" s="14" t="n">
        <x:f>COUNTIFS('Feature Inventory'!B2:B500,A9,'Feature Inventory'!K2:K500,"v0.2")</x:f>
        <x:v>3</x:v>
      </x:c>
      <x:c r="D9" s="14" t="n">
        <x:f>COUNTIFS('Feature Inventory'!B2:B500,A9,'Feature Inventory'!K2:K500,"v1.0")</x:f>
        <x:v>4</x:v>
      </x:c>
      <x:c r="E9" s="14" t="n">
        <x:f>COUNTIFS('Feature Inventory'!B2:B500,A9,'Feature Inventory'!K2:K500,"Future")</x:f>
        <x:v>1</x:v>
      </x:c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14" t="str">
        <x:v>02 Today &amp; Daily Life</x:v>
      </x:c>
      <x:c r="B10" s="14" t="n">
        <x:f>COUNTIFS('Feature Inventory'!B2:B500,A10,'Feature Inventory'!K2:K500,"v0.1")</x:f>
        <x:v>12</x:v>
      </x:c>
      <x:c r="C10" s="14" t="n">
        <x:f>COUNTIFS('Feature Inventory'!B2:B500,A10,'Feature Inventory'!K2:K500,"v0.2")</x:f>
        <x:v>4</x:v>
      </x:c>
      <x:c r="D10" s="14" t="n">
        <x:f>COUNTIFS('Feature Inventory'!B2:B500,A10,'Feature Inventory'!K2:K500,"v1.0")</x:f>
        <x:v>2</x:v>
      </x:c>
      <x:c r="E10" s="14" t="n">
        <x:f>COUNTIFS('Feature Inventory'!B2:B500,A10,'Feature Inventory'!K2:K500,"Future")</x:f>
        <x:v>0</x:v>
      </x:c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14" t="str">
        <x:v>03 Care Network</x:v>
      </x:c>
      <x:c r="B11" s="14" t="n">
        <x:f>COUNTIFS('Feature Inventory'!B2:B500,A11,'Feature Inventory'!K2:K500,"v0.1")</x:f>
        <x:v>5</x:v>
      </x:c>
      <x:c r="C11" s="14" t="n">
        <x:f>COUNTIFS('Feature Inventory'!B2:B500,A11,'Feature Inventory'!K2:K500,"v0.2")</x:f>
        <x:v>5</x:v>
      </x:c>
      <x:c r="D11" s="14" t="n">
        <x:f>COUNTIFS('Feature Inventory'!B2:B500,A11,'Feature Inventory'!K2:K500,"v1.0")</x:f>
        <x:v>4</x:v>
      </x:c>
      <x:c r="E11" s="14" t="n">
        <x:f>COUNTIFS('Feature Inventory'!B2:B500,A11,'Feature Inventory'!K2:K500,"Future")</x:f>
        <x:v>0</x:v>
      </x:c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14" t="str">
        <x:v>04 Health</x:v>
      </x:c>
      <x:c r="B12" s="14" t="n">
        <x:f>COUNTIFS('Feature Inventory'!B2:B500,A12,'Feature Inventory'!K2:K500,"v0.1")</x:f>
        <x:v>11</x:v>
      </x:c>
      <x:c r="C12" s="14" t="n">
        <x:f>COUNTIFS('Feature Inventory'!B2:B500,A12,'Feature Inventory'!K2:K500,"v0.2")</x:f>
        <x:v>5</x:v>
      </x:c>
      <x:c r="D12" s="14" t="n">
        <x:f>COUNTIFS('Feature Inventory'!B2:B500,A12,'Feature Inventory'!K2:K500,"v1.0")</x:f>
        <x:v>3</x:v>
      </x:c>
      <x:c r="E12" s="14" t="n">
        <x:f>COUNTIFS('Feature Inventory'!B2:B500,A12,'Feature Inventory'!K2:K500,"Future")</x:f>
        <x:v>1</x:v>
      </x:c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14" t="str">
        <x:v>05 Behavior</x:v>
      </x:c>
      <x:c r="B13" s="14" t="n">
        <x:f>COUNTIFS('Feature Inventory'!B2:B500,A13,'Feature Inventory'!K2:K500,"v0.1")</x:f>
        <x:v>1</x:v>
      </x:c>
      <x:c r="C13" s="14" t="n">
        <x:f>COUNTIFS('Feature Inventory'!B2:B500,A13,'Feature Inventory'!K2:K500,"v0.2")</x:f>
        <x:v>8</x:v>
      </x:c>
      <x:c r="D13" s="14" t="n">
        <x:f>COUNTIFS('Feature Inventory'!B2:B500,A13,'Feature Inventory'!K2:K500,"v1.0")</x:f>
        <x:v>7</x:v>
      </x:c>
      <x:c r="E13" s="14" t="n">
        <x:f>COUNTIFS('Feature Inventory'!B2:B500,A13,'Feature Inventory'!K2:K500,"Future")</x:f>
        <x:v>0</x:v>
      </x:c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14" t="str">
        <x:v>06 Training</x:v>
      </x:c>
      <x:c r="B14" s="14" t="n">
        <x:f>COUNTIFS('Feature Inventory'!B2:B500,A14,'Feature Inventory'!K2:K500,"v0.1")</x:f>
        <x:v>0</x:v>
      </x:c>
      <x:c r="C14" s="14" t="n">
        <x:f>COUNTIFS('Feature Inventory'!B2:B500,A14,'Feature Inventory'!K2:K500,"v0.2")</x:f>
        <x:v>6</x:v>
      </x:c>
      <x:c r="D14" s="14" t="n">
        <x:f>COUNTIFS('Feature Inventory'!B2:B500,A14,'Feature Inventory'!K2:K500,"v1.0")</x:f>
        <x:v>8</x:v>
      </x:c>
      <x:c r="E14" s="14" t="n">
        <x:f>COUNTIFS('Feature Inventory'!B2:B500,A14,'Feature Inventory'!K2:K500,"Future")</x:f>
        <x:v>0</x:v>
      </x:c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14" t="str">
        <x:v>07 Welfare</x:v>
      </x:c>
      <x:c r="B15" s="14" t="n">
        <x:f>COUNTIFS('Feature Inventory'!B2:B500,A15,'Feature Inventory'!K2:K500,"v0.1")</x:f>
        <x:v>0</x:v>
      </x:c>
      <x:c r="C15" s="14" t="n">
        <x:f>COUNTIFS('Feature Inventory'!B2:B500,A15,'Feature Inventory'!K2:K500,"v0.2")</x:f>
        <x:v>1</x:v>
      </x:c>
      <x:c r="D15" s="14" t="n">
        <x:f>COUNTIFS('Feature Inventory'!B2:B500,A15,'Feature Inventory'!K2:K500,"v1.0")</x:f>
        <x:v>8</x:v>
      </x:c>
      <x:c r="E15" s="14" t="n">
        <x:f>COUNTIFS('Feature Inventory'!B2:B500,A15,'Feature Inventory'!K2:K500,"Future")</x:f>
        <x:v>3</x:v>
      </x:c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14" t="str">
        <x:v>08 Social &amp; Pet Friends</x:v>
      </x:c>
      <x:c r="B16" s="14" t="n">
        <x:f>COUNTIFS('Feature Inventory'!B2:B500,A16,'Feature Inventory'!K2:K500,"v0.1")</x:f>
        <x:v>0</x:v>
      </x:c>
      <x:c r="C16" s="14" t="n">
        <x:f>COUNTIFS('Feature Inventory'!B2:B500,A16,'Feature Inventory'!K2:K500,"v0.2")</x:f>
        <x:v>3</x:v>
      </x:c>
      <x:c r="D16" s="14" t="n">
        <x:f>COUNTIFS('Feature Inventory'!B2:B500,A16,'Feature Inventory'!K2:K500,"v1.0")</x:f>
        <x:v>6</x:v>
      </x:c>
      <x:c r="E16" s="14" t="n">
        <x:f>COUNTIFS('Feature Inventory'!B2:B500,A16,'Feature Inventory'!K2:K500,"Future")</x:f>
        <x:v>5</x:v>
      </x:c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14" t="str">
        <x:v>09 Devices &amp; Home Intelligence</x:v>
      </x:c>
      <x:c r="B17" s="14" t="n">
        <x:f>COUNTIFS('Feature Inventory'!B2:B500,A17,'Feature Inventory'!K2:K500,"v0.1")</x:f>
        <x:v>0</x:v>
      </x:c>
      <x:c r="C17" s="14" t="n">
        <x:f>COUNTIFS('Feature Inventory'!B2:B500,A17,'Feature Inventory'!K2:K500,"v0.2")</x:f>
        <x:v>0</x:v>
      </x:c>
      <x:c r="D17" s="14" t="n">
        <x:f>COUNTIFS('Feature Inventory'!B2:B500,A17,'Feature Inventory'!K2:K500,"v1.0")</x:f>
        <x:v>10</x:v>
      </x:c>
      <x:c r="E17" s="14" t="n">
        <x:f>COUNTIFS('Feature Inventory'!B2:B500,A17,'Feature Inventory'!K2:K500,"Future")</x:f>
        <x:v>4</x:v>
      </x:c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14" t="str">
        <x:v>10 Care Services</x:v>
      </x:c>
      <x:c r="B18" s="14" t="n">
        <x:f>COUNTIFS('Feature Inventory'!B2:B500,A18,'Feature Inventory'!K2:K500,"v0.1")</x:f>
        <x:v>0</x:v>
      </x:c>
      <x:c r="C18" s="14" t="n">
        <x:f>COUNTIFS('Feature Inventory'!B2:B500,A18,'Feature Inventory'!K2:K500,"v0.2")</x:f>
        <x:v>0</x:v>
      </x:c>
      <x:c r="D18" s="14" t="n">
        <x:f>COUNTIFS('Feature Inventory'!B2:B500,A18,'Feature Inventory'!K2:K500,"v1.0")</x:f>
        <x:v>11</x:v>
      </x:c>
      <x:c r="E18" s="14" t="n">
        <x:f>COUNTIFS('Feature Inventory'!B2:B500,A18,'Feature Inventory'!K2:K500,"Future")</x:f>
        <x:v>3</x:v>
      </x:c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14" t="str">
        <x:v>11 Adoption &amp; Rescue</x:v>
      </x:c>
      <x:c r="B19" s="14" t="n">
        <x:f>COUNTIFS('Feature Inventory'!B2:B500,A19,'Feature Inventory'!K2:K500,"v0.1")</x:f>
        <x:v>0</x:v>
      </x:c>
      <x:c r="C19" s="14" t="n">
        <x:f>COUNTIFS('Feature Inventory'!B2:B500,A19,'Feature Inventory'!K2:K500,"v0.2")</x:f>
        <x:v>0</x:v>
      </x:c>
      <x:c r="D19" s="14" t="n">
        <x:f>COUNTIFS('Feature Inventory'!B2:B500,A19,'Feature Inventory'!K2:K500,"v1.0")</x:f>
        <x:v>0</x:v>
      </x:c>
      <x:c r="E19" s="14" t="n">
        <x:f>COUNTIFS('Feature Inventory'!B2:B500,A19,'Feature Inventory'!K2:K500,"Future")</x:f>
        <x:v>10</x:v>
      </x:c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14" t="str">
        <x:v>12 Nutrition &amp; Commerce</x:v>
      </x:c>
      <x:c r="B20" s="14" t="n">
        <x:f>COUNTIFS('Feature Inventory'!B2:B500,A20,'Feature Inventory'!K2:K500,"v0.1")</x:f>
        <x:v>0</x:v>
      </x:c>
      <x:c r="C20" s="14" t="n">
        <x:f>COUNTIFS('Feature Inventory'!B2:B500,A20,'Feature Inventory'!K2:K500,"v0.2")</x:f>
        <x:v>1</x:v>
      </x:c>
      <x:c r="D20" s="14" t="n">
        <x:f>COUNTIFS('Feature Inventory'!B2:B500,A20,'Feature Inventory'!K2:K500,"v1.0")</x:f>
        <x:v>6</x:v>
      </x:c>
      <x:c r="E20" s="14" t="n">
        <x:f>COUNTIFS('Feature Inventory'!B2:B500,A20,'Feature Inventory'!K2:K500,"Future")</x:f>
        <x:v>5</x:v>
      </x:c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14" t="str">
        <x:v>13 Finance &amp; Insurance</x:v>
      </x:c>
      <x:c r="B21" s="14" t="n">
        <x:f>COUNTIFS('Feature Inventory'!B2:B500,A21,'Feature Inventory'!K2:K500,"v0.1")</x:f>
        <x:v>0</x:v>
      </x:c>
      <x:c r="C21" s="14" t="n">
        <x:f>COUNTIFS('Feature Inventory'!B2:B500,A21,'Feature Inventory'!K2:K500,"v0.2")</x:f>
        <x:v>1</x:v>
      </x:c>
      <x:c r="D21" s="14" t="n">
        <x:f>COUNTIFS('Feature Inventory'!B2:B500,A21,'Feature Inventory'!K2:K500,"v1.0")</x:f>
        <x:v>6</x:v>
      </x:c>
      <x:c r="E21" s="14" t="n">
        <x:f>COUNTIFS('Feature Inventory'!B2:B500,A21,'Feature Inventory'!K2:K500,"Future")</x:f>
        <x:v>3</x:v>
      </x:c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14" t="str">
        <x:v>14 Life Timeline &amp; Archive</x:v>
      </x:c>
      <x:c r="B22" s="14" t="n">
        <x:f>COUNTIFS('Feature Inventory'!B2:B500,A22,'Feature Inventory'!K2:K500,"v0.1")</x:f>
        <x:v>2</x:v>
      </x:c>
      <x:c r="C22" s="14" t="n">
        <x:f>COUNTIFS('Feature Inventory'!B2:B500,A22,'Feature Inventory'!K2:K500,"v0.2")</x:f>
        <x:v>3</x:v>
      </x:c>
      <x:c r="D22" s="14" t="n">
        <x:f>COUNTIFS('Feature Inventory'!B2:B500,A22,'Feature Inventory'!K2:K500,"v1.0")</x:f>
        <x:v>2</x:v>
      </x:c>
      <x:c r="E22" s="14" t="n">
        <x:f>COUNTIFS('Feature Inventory'!B2:B500,A22,'Feature Inventory'!K2:K500,"Future")</x:f>
        <x:v>5</x:v>
      </x:c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14" t="str">
        <x:v>15 Pet Agent &amp; Search</x:v>
      </x:c>
      <x:c r="B23" s="14" t="n">
        <x:f>COUNTIFS('Feature Inventory'!B2:B500,A23,'Feature Inventory'!K2:K500,"v0.1")</x:f>
        <x:v>1</x:v>
      </x:c>
      <x:c r="C23" s="14" t="n">
        <x:f>COUNTIFS('Feature Inventory'!B2:B500,A23,'Feature Inventory'!K2:K500,"v0.2")</x:f>
        <x:v>5</x:v>
      </x:c>
      <x:c r="D23" s="14" t="n">
        <x:f>COUNTIFS('Feature Inventory'!B2:B500,A23,'Feature Inventory'!K2:K500,"v1.0")</x:f>
        <x:v>6</x:v>
      </x:c>
      <x:c r="E23" s="14" t="n">
        <x:f>COUNTIFS('Feature Inventory'!B2:B500,A23,'Feature Inventory'!K2:K500,"Future")</x:f>
        <x:v>2</x:v>
      </x:c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14" t="str">
        <x:v>16 Platform, Data &amp; Safety</x:v>
      </x:c>
      <x:c r="B24" s="14" t="n">
        <x:f>COUNTIFS('Feature Inventory'!B2:B500,A24,'Feature Inventory'!K2:K500,"v0.1")</x:f>
        <x:v>10</x:v>
      </x:c>
      <x:c r="C24" s="14" t="n">
        <x:f>COUNTIFS('Feature Inventory'!B2:B500,A24,'Feature Inventory'!K2:K500,"v0.2")</x:f>
        <x:v>3</x:v>
      </x:c>
      <x:c r="D24" s="14" t="n">
        <x:f>COUNTIFS('Feature Inventory'!B2:B500,A24,'Feature Inventory'!K2:K500,"v1.0")</x:f>
        <x:v>5</x:v>
      </x:c>
      <x:c r="E24" s="14" t="n">
        <x:f>COUNTIFS('Feature Inventory'!B2:B500,A24,'Feature Inventory'!K2:K500,"Future")</x:f>
        <x:v>0</x:v>
      </x:c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25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25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25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25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25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25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25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25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25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25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25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25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25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25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25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25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25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25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25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25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25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25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25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25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25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25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25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25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25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25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25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25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25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25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25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25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25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25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25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25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25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25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25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25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25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25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25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25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25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25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25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25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25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25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25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25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25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25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25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25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25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25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25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25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25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25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25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25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25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25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25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25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25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25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25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25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25"/>
      <x:c r="B201" s="25"/>
      <x:c r="C201" s="25"/>
      <x:c r="D201" s="25"/>
      <x:c r="E201" s="25"/>
      <x:c r="F201" s="25"/>
      <x:c r="G201" s="25"/>
      <x:c r="H201" s="25"/>
      <x:c r="I201" s="25"/>
      <x:c r="J201" s="25"/>
      <x:c r="K201" s="25"/>
      <x:c r="L201" s="25"/>
      <x:c r="M201" s="25"/>
      <x:c r="N201" s="25"/>
      <x:c r="O201" s="25"/>
      <x:c r="P201" s="25"/>
      <x:c r="Q201" s="25"/>
      <x:c r="R201" s="25"/>
      <x:c r="S201" s="25"/>
      <x:c r="T201" s="25"/>
      <x:c r="U201" s="25"/>
      <x:c r="V201" s="25"/>
      <x:c r="W201" s="25"/>
      <x:c r="X201" s="25"/>
      <x:c r="Y201" s="25"/>
      <x:c r="Z201" s="25"/>
    </x:row>
    <x:row r="202">
      <x:c r="A202" s="25"/>
      <x:c r="B202" s="25"/>
      <x:c r="C202" s="25"/>
      <x:c r="D202" s="25"/>
      <x:c r="E202" s="25"/>
      <x:c r="F202" s="25"/>
      <x:c r="G202" s="25"/>
      <x:c r="H202" s="25"/>
      <x:c r="I202" s="25"/>
      <x:c r="J202" s="25"/>
      <x:c r="K202" s="25"/>
      <x:c r="L202" s="25"/>
      <x:c r="M202" s="25"/>
      <x:c r="N202" s="25"/>
      <x:c r="O202" s="25"/>
      <x:c r="P202" s="25"/>
      <x:c r="Q202" s="25"/>
      <x:c r="R202" s="25"/>
      <x:c r="S202" s="25"/>
      <x:c r="T202" s="25"/>
      <x:c r="U202" s="25"/>
      <x:c r="V202" s="25"/>
      <x:c r="W202" s="25"/>
      <x:c r="X202" s="25"/>
      <x:c r="Y202" s="25"/>
      <x:c r="Z202" s="25"/>
    </x:row>
    <x:row r="203">
      <x:c r="A203" s="25"/>
      <x:c r="B203" s="25"/>
      <x:c r="C203" s="25"/>
      <x:c r="D203" s="25"/>
      <x:c r="E203" s="25"/>
      <x:c r="F203" s="25"/>
      <x:c r="G203" s="25"/>
      <x:c r="H203" s="25"/>
      <x:c r="I203" s="25"/>
      <x:c r="J203" s="25"/>
      <x:c r="K203" s="25"/>
      <x:c r="L203" s="25"/>
      <x:c r="M203" s="25"/>
      <x:c r="N203" s="25"/>
      <x:c r="O203" s="25"/>
      <x:c r="P203" s="25"/>
      <x:c r="Q203" s="25"/>
      <x:c r="R203" s="25"/>
      <x:c r="S203" s="25"/>
      <x:c r="T203" s="25"/>
      <x:c r="U203" s="25"/>
      <x:c r="V203" s="25"/>
      <x:c r="W203" s="25"/>
      <x:c r="X203" s="25"/>
      <x:c r="Y203" s="25"/>
      <x:c r="Z203" s="25"/>
    </x:row>
    <x:row r="204">
      <x:c r="A204" s="25"/>
      <x:c r="B204" s="25"/>
      <x:c r="C204" s="25"/>
      <x:c r="D204" s="25"/>
      <x:c r="E204" s="25"/>
      <x:c r="F204" s="25"/>
      <x:c r="G204" s="25"/>
      <x:c r="H204" s="25"/>
      <x:c r="I204" s="25"/>
      <x:c r="J204" s="25"/>
      <x:c r="K204" s="25"/>
      <x:c r="L204" s="25"/>
      <x:c r="M204" s="25"/>
      <x:c r="N204" s="25"/>
      <x:c r="O204" s="25"/>
      <x:c r="P204" s="25"/>
      <x:c r="Q204" s="25"/>
      <x:c r="R204" s="25"/>
      <x:c r="S204" s="25"/>
      <x:c r="T204" s="25"/>
      <x:c r="U204" s="25"/>
      <x:c r="V204" s="25"/>
      <x:c r="W204" s="25"/>
      <x:c r="X204" s="25"/>
      <x:c r="Y204" s="25"/>
      <x:c r="Z204" s="25"/>
    </x:row>
    <x:row r="205">
      <x:c r="A205" s="25"/>
      <x:c r="B205" s="25"/>
      <x:c r="C205" s="25"/>
      <x:c r="D205" s="25"/>
      <x:c r="E205" s="25"/>
      <x:c r="F205" s="25"/>
      <x:c r="G205" s="25"/>
      <x:c r="H205" s="25"/>
      <x:c r="I205" s="25"/>
      <x:c r="J205" s="25"/>
      <x:c r="K205" s="25"/>
      <x:c r="L205" s="25"/>
      <x:c r="M205" s="25"/>
      <x:c r="N205" s="25"/>
      <x:c r="O205" s="25"/>
      <x:c r="P205" s="25"/>
      <x:c r="Q205" s="25"/>
      <x:c r="R205" s="25"/>
      <x:c r="S205" s="25"/>
      <x:c r="T205" s="25"/>
      <x:c r="U205" s="25"/>
      <x:c r="V205" s="25"/>
      <x:c r="W205" s="25"/>
      <x:c r="X205" s="25"/>
      <x:c r="Y205" s="25"/>
      <x:c r="Z205" s="25"/>
    </x:row>
    <x:row r="206">
      <x:c r="A206" s="25"/>
      <x:c r="B206" s="25"/>
      <x:c r="C206" s="25"/>
      <x:c r="D206" s="25"/>
      <x:c r="E206" s="25"/>
      <x:c r="F206" s="25"/>
      <x:c r="G206" s="25"/>
      <x:c r="H206" s="25"/>
      <x:c r="I206" s="25"/>
      <x:c r="J206" s="25"/>
      <x:c r="K206" s="25"/>
      <x:c r="L206" s="25"/>
      <x:c r="M206" s="25"/>
      <x:c r="N206" s="25"/>
      <x:c r="O206" s="25"/>
      <x:c r="P206" s="25"/>
      <x:c r="Q206" s="25"/>
      <x:c r="R206" s="25"/>
      <x:c r="S206" s="25"/>
      <x:c r="T206" s="25"/>
      <x:c r="U206" s="25"/>
      <x:c r="V206" s="25"/>
      <x:c r="W206" s="25"/>
      <x:c r="X206" s="25"/>
      <x:c r="Y206" s="25"/>
      <x:c r="Z206" s="25"/>
    </x:row>
    <x:row r="207">
      <x:c r="A207" s="25"/>
      <x:c r="B207" s="25"/>
      <x:c r="C207" s="25"/>
      <x:c r="D207" s="25"/>
      <x:c r="E207" s="25"/>
      <x:c r="F207" s="25"/>
      <x:c r="G207" s="25"/>
      <x:c r="H207" s="25"/>
      <x:c r="I207" s="25"/>
      <x:c r="J207" s="25"/>
      <x:c r="K207" s="25"/>
      <x:c r="L207" s="25"/>
      <x:c r="M207" s="25"/>
      <x:c r="N207" s="25"/>
      <x:c r="O207" s="25"/>
      <x:c r="P207" s="25"/>
      <x:c r="Q207" s="25"/>
      <x:c r="R207" s="25"/>
      <x:c r="S207" s="25"/>
      <x:c r="T207" s="25"/>
      <x:c r="U207" s="25"/>
      <x:c r="V207" s="25"/>
      <x:c r="W207" s="25"/>
      <x:c r="X207" s="25"/>
      <x:c r="Y207" s="25"/>
      <x:c r="Z207" s="25"/>
    </x:row>
    <x:row r="208">
      <x:c r="A208" s="25"/>
      <x:c r="B208" s="25"/>
      <x:c r="C208" s="25"/>
      <x:c r="D208" s="25"/>
      <x:c r="E208" s="25"/>
      <x:c r="F208" s="25"/>
      <x:c r="G208" s="25"/>
      <x:c r="H208" s="25"/>
      <x:c r="I208" s="25"/>
      <x:c r="J208" s="25"/>
      <x:c r="K208" s="25"/>
      <x:c r="L208" s="25"/>
      <x:c r="M208" s="25"/>
      <x:c r="N208" s="25"/>
      <x:c r="O208" s="25"/>
      <x:c r="P208" s="25"/>
      <x:c r="Q208" s="25"/>
      <x:c r="R208" s="25"/>
      <x:c r="S208" s="25"/>
      <x:c r="T208" s="25"/>
      <x:c r="U208" s="25"/>
      <x:c r="V208" s="25"/>
      <x:c r="W208" s="25"/>
      <x:c r="X208" s="25"/>
      <x:c r="Y208" s="25"/>
      <x:c r="Z208" s="25"/>
    </x:row>
    <x:row r="209">
      <x:c r="A209" s="25"/>
      <x:c r="B209" s="25"/>
      <x:c r="C209" s="25"/>
      <x:c r="D209" s="25"/>
      <x:c r="E209" s="25"/>
      <x:c r="F209" s="25"/>
      <x:c r="G209" s="25"/>
      <x:c r="H209" s="25"/>
      <x:c r="I209" s="25"/>
      <x:c r="J209" s="25"/>
      <x:c r="K209" s="25"/>
      <x:c r="L209" s="25"/>
      <x:c r="M209" s="25"/>
      <x:c r="N209" s="25"/>
      <x:c r="O209" s="25"/>
      <x:c r="P209" s="25"/>
      <x:c r="Q209" s="25"/>
      <x:c r="R209" s="25"/>
      <x:c r="S209" s="25"/>
      <x:c r="T209" s="25"/>
      <x:c r="U209" s="25"/>
      <x:c r="V209" s="25"/>
      <x:c r="W209" s="25"/>
      <x:c r="X209" s="25"/>
      <x:c r="Y209" s="25"/>
      <x:c r="Z209" s="25"/>
    </x:row>
    <x:row r="210">
      <x:c r="A210" s="25"/>
      <x:c r="B210" s="25"/>
      <x:c r="C210" s="25"/>
      <x:c r="D210" s="25"/>
      <x:c r="E210" s="25"/>
      <x:c r="F210" s="25"/>
      <x:c r="G210" s="25"/>
      <x:c r="H210" s="25"/>
      <x:c r="I210" s="25"/>
      <x:c r="J210" s="25"/>
      <x:c r="K210" s="25"/>
      <x:c r="L210" s="25"/>
      <x:c r="M210" s="25"/>
      <x:c r="N210" s="25"/>
      <x:c r="O210" s="25"/>
      <x:c r="P210" s="25"/>
      <x:c r="Q210" s="25"/>
      <x:c r="R210" s="25"/>
      <x:c r="S210" s="25"/>
      <x:c r="T210" s="25"/>
      <x:c r="U210" s="25"/>
      <x:c r="V210" s="25"/>
      <x:c r="W210" s="25"/>
      <x:c r="X210" s="25"/>
      <x:c r="Y210" s="25"/>
      <x:c r="Z210" s="25"/>
    </x:row>
    <x:row r="211">
      <x:c r="A211" s="25"/>
      <x:c r="B211" s="25"/>
      <x:c r="C211" s="25"/>
      <x:c r="D211" s="25"/>
      <x:c r="E211" s="25"/>
      <x:c r="F211" s="25"/>
      <x:c r="G211" s="25"/>
      <x:c r="H211" s="25"/>
      <x:c r="I211" s="25"/>
      <x:c r="J211" s="25"/>
      <x:c r="K211" s="25"/>
      <x:c r="L211" s="25"/>
      <x:c r="M211" s="25"/>
      <x:c r="N211" s="25"/>
      <x:c r="O211" s="25"/>
      <x:c r="P211" s="25"/>
      <x:c r="Q211" s="25"/>
      <x:c r="R211" s="25"/>
      <x:c r="S211" s="25"/>
      <x:c r="T211" s="25"/>
      <x:c r="U211" s="25"/>
      <x:c r="V211" s="25"/>
      <x:c r="W211" s="25"/>
      <x:c r="X211" s="25"/>
      <x:c r="Y211" s="25"/>
      <x:c r="Z211" s="25"/>
    </x:row>
    <x:row r="212">
      <x:c r="A212" s="25"/>
      <x:c r="B212" s="25"/>
      <x:c r="C212" s="25"/>
      <x:c r="D212" s="25"/>
      <x:c r="E212" s="25"/>
      <x:c r="F212" s="25"/>
      <x:c r="G212" s="25"/>
      <x:c r="H212" s="25"/>
      <x:c r="I212" s="25"/>
      <x:c r="J212" s="25"/>
      <x:c r="K212" s="25"/>
      <x:c r="L212" s="25"/>
      <x:c r="M212" s="25"/>
      <x:c r="N212" s="25"/>
      <x:c r="O212" s="25"/>
      <x:c r="P212" s="25"/>
      <x:c r="Q212" s="25"/>
      <x:c r="R212" s="25"/>
      <x:c r="S212" s="25"/>
      <x:c r="T212" s="25"/>
      <x:c r="U212" s="25"/>
      <x:c r="V212" s="25"/>
      <x:c r="W212" s="25"/>
      <x:c r="X212" s="25"/>
      <x:c r="Y212" s="25"/>
      <x:c r="Z212" s="25"/>
    </x:row>
    <x:row r="213">
      <x:c r="A213" s="25"/>
      <x:c r="B213" s="25"/>
      <x:c r="C213" s="25"/>
      <x:c r="D213" s="25"/>
      <x:c r="E213" s="25"/>
      <x:c r="F213" s="25"/>
      <x:c r="G213" s="25"/>
      <x:c r="H213" s="25"/>
      <x:c r="I213" s="25"/>
      <x:c r="J213" s="25"/>
      <x:c r="K213" s="25"/>
      <x:c r="L213" s="25"/>
      <x:c r="M213" s="25"/>
      <x:c r="N213" s="25"/>
      <x:c r="O213" s="25"/>
      <x:c r="P213" s="25"/>
      <x:c r="Q213" s="25"/>
      <x:c r="R213" s="25"/>
      <x:c r="S213" s="25"/>
      <x:c r="T213" s="25"/>
      <x:c r="U213" s="25"/>
      <x:c r="V213" s="25"/>
      <x:c r="W213" s="25"/>
      <x:c r="X213" s="25"/>
      <x:c r="Y213" s="25"/>
      <x:c r="Z213" s="25"/>
    </x:row>
    <x:row r="214">
      <x:c r="A214" s="25"/>
      <x:c r="B214" s="25"/>
      <x:c r="C214" s="25"/>
      <x:c r="D214" s="25"/>
      <x:c r="E214" s="25"/>
      <x:c r="F214" s="25"/>
      <x:c r="G214" s="25"/>
      <x:c r="H214" s="25"/>
      <x:c r="I214" s="25"/>
      <x:c r="J214" s="25"/>
      <x:c r="K214" s="25"/>
      <x:c r="L214" s="25"/>
      <x:c r="M214" s="25"/>
      <x:c r="N214" s="25"/>
      <x:c r="O214" s="25"/>
      <x:c r="P214" s="25"/>
      <x:c r="Q214" s="25"/>
      <x:c r="R214" s="25"/>
      <x:c r="S214" s="25"/>
      <x:c r="T214" s="25"/>
      <x:c r="U214" s="25"/>
      <x:c r="V214" s="25"/>
      <x:c r="W214" s="25"/>
      <x:c r="X214" s="25"/>
      <x:c r="Y214" s="25"/>
      <x:c r="Z214" s="25"/>
    </x:row>
    <x:row r="215">
      <x:c r="A215" s="25"/>
      <x:c r="B215" s="25"/>
      <x:c r="C215" s="25"/>
      <x:c r="D215" s="25"/>
      <x:c r="E215" s="25"/>
      <x:c r="F215" s="25"/>
      <x:c r="G215" s="25"/>
      <x:c r="H215" s="25"/>
      <x:c r="I215" s="25"/>
      <x:c r="J215" s="25"/>
      <x:c r="K215" s="25"/>
      <x:c r="L215" s="25"/>
      <x:c r="M215" s="25"/>
      <x:c r="N215" s="25"/>
      <x:c r="O215" s="25"/>
      <x:c r="P215" s="25"/>
      <x:c r="Q215" s="25"/>
      <x:c r="R215" s="25"/>
      <x:c r="S215" s="25"/>
      <x:c r="T215" s="25"/>
      <x:c r="U215" s="25"/>
      <x:c r="V215" s="25"/>
      <x:c r="W215" s="25"/>
      <x:c r="X215" s="25"/>
      <x:c r="Y215" s="25"/>
      <x:c r="Z215" s="25"/>
    </x:row>
    <x:row r="216">
      <x:c r="A216" s="25"/>
      <x:c r="B216" s="25"/>
      <x:c r="C216" s="25"/>
      <x:c r="D216" s="25"/>
      <x:c r="E216" s="25"/>
      <x:c r="F216" s="25"/>
      <x:c r="G216" s="25"/>
      <x:c r="H216" s="25"/>
      <x:c r="I216" s="25"/>
      <x:c r="J216" s="25"/>
      <x:c r="K216" s="25"/>
      <x:c r="L216" s="25"/>
      <x:c r="M216" s="25"/>
      <x:c r="N216" s="25"/>
      <x:c r="O216" s="25"/>
      <x:c r="P216" s="25"/>
      <x:c r="Q216" s="25"/>
      <x:c r="R216" s="25"/>
      <x:c r="S216" s="25"/>
      <x:c r="T216" s="25"/>
      <x:c r="U216" s="25"/>
      <x:c r="V216" s="25"/>
      <x:c r="W216" s="25"/>
      <x:c r="X216" s="25"/>
      <x:c r="Y216" s="25"/>
      <x:c r="Z216" s="25"/>
    </x:row>
    <x:row r="217">
      <x:c r="A217" s="25"/>
      <x:c r="B217" s="25"/>
      <x:c r="C217" s="25"/>
      <x:c r="D217" s="25"/>
      <x:c r="E217" s="25"/>
      <x:c r="F217" s="25"/>
      <x:c r="G217" s="25"/>
      <x:c r="H217" s="25"/>
      <x:c r="I217" s="25"/>
      <x:c r="J217" s="25"/>
      <x:c r="K217" s="25"/>
      <x:c r="L217" s="25"/>
      <x:c r="M217" s="25"/>
      <x:c r="N217" s="25"/>
      <x:c r="O217" s="25"/>
      <x:c r="P217" s="25"/>
      <x:c r="Q217" s="25"/>
      <x:c r="R217" s="25"/>
      <x:c r="S217" s="25"/>
      <x:c r="T217" s="25"/>
      <x:c r="U217" s="25"/>
      <x:c r="V217" s="25"/>
      <x:c r="W217" s="25"/>
      <x:c r="X217" s="25"/>
      <x:c r="Y217" s="25"/>
      <x:c r="Z217" s="25"/>
    </x:row>
    <x:row r="218">
      <x:c r="A218" s="25"/>
      <x:c r="B218" s="25"/>
      <x:c r="C218" s="25"/>
      <x:c r="D218" s="25"/>
      <x:c r="E218" s="25"/>
      <x:c r="F218" s="25"/>
      <x:c r="G218" s="25"/>
      <x:c r="H218" s="25"/>
      <x:c r="I218" s="25"/>
      <x:c r="J218" s="25"/>
      <x:c r="K218" s="25"/>
      <x:c r="L218" s="25"/>
      <x:c r="M218" s="25"/>
      <x:c r="N218" s="25"/>
      <x:c r="O218" s="25"/>
      <x:c r="P218" s="25"/>
      <x:c r="Q218" s="25"/>
      <x:c r="R218" s="25"/>
      <x:c r="S218" s="25"/>
      <x:c r="T218" s="25"/>
      <x:c r="U218" s="25"/>
      <x:c r="V218" s="25"/>
      <x:c r="W218" s="25"/>
      <x:c r="X218" s="25"/>
      <x:c r="Y218" s="25"/>
      <x:c r="Z218" s="25"/>
    </x:row>
    <x:row r="219">
      <x:c r="A219" s="25"/>
      <x:c r="B219" s="25"/>
      <x:c r="C219" s="25"/>
      <x:c r="D219" s="25"/>
      <x:c r="E219" s="25"/>
      <x:c r="F219" s="25"/>
      <x:c r="G219" s="25"/>
      <x:c r="H219" s="25"/>
      <x:c r="I219" s="25"/>
      <x:c r="J219" s="25"/>
      <x:c r="K219" s="25"/>
      <x:c r="L219" s="25"/>
      <x:c r="M219" s="25"/>
      <x:c r="N219" s="25"/>
      <x:c r="O219" s="25"/>
      <x:c r="P219" s="25"/>
      <x:c r="Q219" s="25"/>
      <x:c r="R219" s="25"/>
      <x:c r="S219" s="25"/>
      <x:c r="T219" s="25"/>
      <x:c r="U219" s="25"/>
      <x:c r="V219" s="25"/>
      <x:c r="W219" s="25"/>
      <x:c r="X219" s="25"/>
      <x:c r="Y219" s="25"/>
      <x:c r="Z219" s="25"/>
    </x:row>
    <x:row r="220">
      <x:c r="A220" s="25"/>
      <x:c r="B220" s="25"/>
      <x:c r="C220" s="25"/>
      <x:c r="D220" s="25"/>
      <x:c r="E220" s="25"/>
      <x:c r="F220" s="25"/>
      <x:c r="G220" s="25"/>
      <x:c r="H220" s="25"/>
      <x:c r="I220" s="25"/>
      <x:c r="J220" s="25"/>
      <x:c r="K220" s="25"/>
      <x:c r="L220" s="25"/>
      <x:c r="M220" s="25"/>
      <x:c r="N220" s="25"/>
      <x:c r="O220" s="25"/>
      <x:c r="P220" s="25"/>
      <x:c r="Q220" s="25"/>
      <x:c r="R220" s="25"/>
      <x:c r="S220" s="25"/>
      <x:c r="T220" s="25"/>
      <x:c r="U220" s="25"/>
      <x:c r="V220" s="25"/>
      <x:c r="W220" s="25"/>
      <x:c r="X220" s="25"/>
      <x:c r="Y220" s="25"/>
      <x:c r="Z220" s="25"/>
    </x:row>
    <x:row r="221">
      <x:c r="A221" s="25"/>
      <x:c r="B221" s="25"/>
      <x:c r="C221" s="25"/>
      <x:c r="D221" s="25"/>
      <x:c r="E221" s="25"/>
      <x:c r="F221" s="25"/>
      <x:c r="G221" s="25"/>
      <x:c r="H221" s="25"/>
      <x:c r="I221" s="25"/>
      <x:c r="J221" s="25"/>
      <x:c r="K221" s="25"/>
      <x:c r="L221" s="25"/>
      <x:c r="M221" s="25"/>
      <x:c r="N221" s="25"/>
      <x:c r="O221" s="25"/>
      <x:c r="P221" s="25"/>
      <x:c r="Q221" s="25"/>
      <x:c r="R221" s="25"/>
      <x:c r="S221" s="25"/>
      <x:c r="T221" s="25"/>
      <x:c r="U221" s="25"/>
      <x:c r="V221" s="25"/>
      <x:c r="W221" s="25"/>
      <x:c r="X221" s="25"/>
      <x:c r="Y221" s="25"/>
      <x:c r="Z221" s="25"/>
    </x:row>
    <x:row r="222">
      <x:c r="A222" s="25"/>
      <x:c r="B222" s="25"/>
      <x:c r="C222" s="25"/>
      <x:c r="D222" s="25"/>
      <x:c r="E222" s="25"/>
      <x:c r="F222" s="25"/>
      <x:c r="G222" s="25"/>
      <x:c r="H222" s="25"/>
      <x:c r="I222" s="25"/>
      <x:c r="J222" s="25"/>
      <x:c r="K222" s="25"/>
      <x:c r="L222" s="25"/>
      <x:c r="M222" s="25"/>
      <x:c r="N222" s="25"/>
      <x:c r="O222" s="25"/>
      <x:c r="P222" s="25"/>
      <x:c r="Q222" s="25"/>
      <x:c r="R222" s="25"/>
      <x:c r="S222" s="25"/>
      <x:c r="T222" s="25"/>
      <x:c r="U222" s="25"/>
      <x:c r="V222" s="25"/>
      <x:c r="W222" s="25"/>
      <x:c r="X222" s="25"/>
      <x:c r="Y222" s="25"/>
      <x:c r="Z222" s="25"/>
    </x:row>
    <x:row r="223">
      <x:c r="A223" s="25"/>
      <x:c r="B223" s="25"/>
      <x:c r="C223" s="25"/>
      <x:c r="D223" s="25"/>
      <x:c r="E223" s="25"/>
      <x:c r="F223" s="25"/>
      <x:c r="G223" s="25"/>
      <x:c r="H223" s="25"/>
      <x:c r="I223" s="25"/>
      <x:c r="J223" s="25"/>
      <x:c r="K223" s="25"/>
      <x:c r="L223" s="25"/>
      <x:c r="M223" s="25"/>
      <x:c r="N223" s="25"/>
      <x:c r="O223" s="25"/>
      <x:c r="P223" s="25"/>
      <x:c r="Q223" s="25"/>
      <x:c r="R223" s="25"/>
      <x:c r="S223" s="25"/>
      <x:c r="T223" s="25"/>
      <x:c r="U223" s="25"/>
      <x:c r="V223" s="25"/>
      <x:c r="W223" s="25"/>
      <x:c r="X223" s="25"/>
      <x:c r="Y223" s="25"/>
      <x:c r="Z223" s="25"/>
    </x:row>
    <x:row r="224">
      <x:c r="A224" s="25"/>
      <x:c r="B224" s="25"/>
      <x:c r="C224" s="25"/>
      <x:c r="D224" s="25"/>
      <x:c r="E224" s="25"/>
      <x:c r="F224" s="25"/>
      <x:c r="G224" s="25"/>
      <x:c r="H224" s="25"/>
      <x:c r="I224" s="25"/>
      <x:c r="J224" s="25"/>
      <x:c r="K224" s="25"/>
      <x:c r="L224" s="25"/>
      <x:c r="M224" s="25"/>
      <x:c r="N224" s="25"/>
      <x:c r="O224" s="25"/>
      <x:c r="P224" s="25"/>
      <x:c r="Q224" s="25"/>
      <x:c r="R224" s="25"/>
      <x:c r="S224" s="25"/>
      <x:c r="T224" s="25"/>
      <x:c r="U224" s="25"/>
      <x:c r="V224" s="25"/>
      <x:c r="W224" s="25"/>
      <x:c r="X224" s="25"/>
      <x:c r="Y224" s="25"/>
      <x:c r="Z224" s="25"/>
    </x:row>
    <x:row r="225">
      <x:c r="A225" s="25"/>
      <x:c r="B225" s="25"/>
      <x:c r="C225" s="25"/>
      <x:c r="D225" s="25"/>
      <x:c r="E225" s="25"/>
      <x:c r="F225" s="25"/>
      <x:c r="G225" s="25"/>
      <x:c r="H225" s="25"/>
      <x:c r="I225" s="25"/>
      <x:c r="J225" s="25"/>
      <x:c r="K225" s="25"/>
      <x:c r="L225" s="25"/>
      <x:c r="M225" s="25"/>
      <x:c r="N225" s="25"/>
      <x:c r="O225" s="25"/>
      <x:c r="P225" s="25"/>
      <x:c r="Q225" s="25"/>
      <x:c r="R225" s="25"/>
      <x:c r="S225" s="25"/>
      <x:c r="T225" s="25"/>
      <x:c r="U225" s="25"/>
      <x:c r="V225" s="25"/>
      <x:c r="W225" s="25"/>
      <x:c r="X225" s="25"/>
      <x:c r="Y225" s="25"/>
      <x:c r="Z225" s="25"/>
    </x:row>
    <x:row r="226">
      <x:c r="A226" s="25"/>
      <x:c r="B226" s="25"/>
      <x:c r="C226" s="25"/>
      <x:c r="D226" s="25"/>
      <x:c r="E226" s="25"/>
      <x:c r="F226" s="25"/>
      <x:c r="G226" s="25"/>
      <x:c r="H226" s="25"/>
      <x:c r="I226" s="25"/>
      <x:c r="J226" s="25"/>
      <x:c r="K226" s="25"/>
      <x:c r="L226" s="25"/>
      <x:c r="M226" s="25"/>
      <x:c r="N226" s="25"/>
      <x:c r="O226" s="25"/>
      <x:c r="P226" s="25"/>
      <x:c r="Q226" s="25"/>
      <x:c r="R226" s="25"/>
      <x:c r="S226" s="25"/>
      <x:c r="T226" s="25"/>
      <x:c r="U226" s="25"/>
      <x:c r="V226" s="25"/>
      <x:c r="W226" s="25"/>
      <x:c r="X226" s="25"/>
      <x:c r="Y226" s="25"/>
      <x:c r="Z226" s="25"/>
    </x:row>
    <x:row r="227">
      <x:c r="A227" s="25"/>
      <x:c r="B227" s="25"/>
      <x:c r="C227" s="25"/>
      <x:c r="D227" s="25"/>
      <x:c r="E227" s="25"/>
      <x:c r="F227" s="25"/>
      <x:c r="G227" s="25"/>
      <x:c r="H227" s="25"/>
      <x:c r="I227" s="25"/>
      <x:c r="J227" s="25"/>
      <x:c r="K227" s="25"/>
      <x:c r="L227" s="25"/>
      <x:c r="M227" s="25"/>
      <x:c r="N227" s="25"/>
      <x:c r="O227" s="25"/>
      <x:c r="P227" s="25"/>
      <x:c r="Q227" s="25"/>
      <x:c r="R227" s="25"/>
      <x:c r="S227" s="25"/>
      <x:c r="T227" s="25"/>
      <x:c r="U227" s="25"/>
      <x:c r="V227" s="25"/>
      <x:c r="W227" s="25"/>
      <x:c r="X227" s="25"/>
      <x:c r="Y227" s="25"/>
      <x:c r="Z227" s="25"/>
    </x:row>
    <x:row r="228">
      <x:c r="A228" s="25"/>
      <x:c r="B228" s="25"/>
      <x:c r="C228" s="25"/>
      <x:c r="D228" s="25"/>
      <x:c r="E228" s="25"/>
      <x:c r="F228" s="25"/>
      <x:c r="G228" s="25"/>
      <x:c r="H228" s="25"/>
      <x:c r="I228" s="25"/>
      <x:c r="J228" s="25"/>
      <x:c r="K228" s="25"/>
      <x:c r="L228" s="25"/>
      <x:c r="M228" s="25"/>
      <x:c r="N228" s="25"/>
      <x:c r="O228" s="25"/>
      <x:c r="P228" s="25"/>
      <x:c r="Q228" s="25"/>
      <x:c r="R228" s="25"/>
      <x:c r="S228" s="25"/>
      <x:c r="T228" s="25"/>
      <x:c r="U228" s="25"/>
      <x:c r="V228" s="25"/>
      <x:c r="W228" s="25"/>
      <x:c r="X228" s="25"/>
      <x:c r="Y228" s="25"/>
      <x:c r="Z228" s="25"/>
    </x:row>
    <x:row r="229">
      <x:c r="A229" s="25"/>
      <x:c r="B229" s="25"/>
      <x:c r="C229" s="25"/>
      <x:c r="D229" s="25"/>
      <x:c r="E229" s="25"/>
      <x:c r="F229" s="25"/>
      <x:c r="G229" s="25"/>
      <x:c r="H229" s="25"/>
      <x:c r="I229" s="25"/>
      <x:c r="J229" s="25"/>
      <x:c r="K229" s="25"/>
      <x:c r="L229" s="25"/>
      <x:c r="M229" s="25"/>
      <x:c r="N229" s="25"/>
      <x:c r="O229" s="25"/>
      <x:c r="P229" s="25"/>
      <x:c r="Q229" s="25"/>
      <x:c r="R229" s="25"/>
      <x:c r="S229" s="25"/>
      <x:c r="T229" s="25"/>
      <x:c r="U229" s="25"/>
      <x:c r="V229" s="25"/>
      <x:c r="W229" s="25"/>
      <x:c r="X229" s="25"/>
      <x:c r="Y229" s="25"/>
      <x:c r="Z229" s="25"/>
    </x:row>
    <x:row r="230">
      <x:c r="A230" s="25"/>
      <x:c r="B230" s="25"/>
      <x:c r="C230" s="25"/>
      <x:c r="D230" s="25"/>
      <x:c r="E230" s="25"/>
      <x:c r="F230" s="25"/>
      <x:c r="G230" s="25"/>
      <x:c r="H230" s="25"/>
      <x:c r="I230" s="25"/>
      <x:c r="J230" s="25"/>
      <x:c r="K230" s="25"/>
      <x:c r="L230" s="25"/>
      <x:c r="M230" s="25"/>
      <x:c r="N230" s="25"/>
      <x:c r="O230" s="25"/>
      <x:c r="P230" s="25"/>
      <x:c r="Q230" s="25"/>
      <x:c r="R230" s="25"/>
      <x:c r="S230" s="25"/>
      <x:c r="T230" s="25"/>
      <x:c r="U230" s="25"/>
      <x:c r="V230" s="25"/>
      <x:c r="W230" s="25"/>
      <x:c r="X230" s="25"/>
      <x:c r="Y230" s="25"/>
      <x:c r="Z230" s="25"/>
    </x:row>
    <x:row r="231">
      <x:c r="A231" s="25"/>
      <x:c r="B231" s="25"/>
      <x:c r="C231" s="25"/>
      <x:c r="D231" s="25"/>
      <x:c r="E231" s="25"/>
      <x:c r="F231" s="25"/>
      <x:c r="G231" s="25"/>
      <x:c r="H231" s="25"/>
      <x:c r="I231" s="25"/>
      <x:c r="J231" s="25"/>
      <x:c r="K231" s="25"/>
      <x:c r="L231" s="25"/>
      <x:c r="M231" s="25"/>
      <x:c r="N231" s="25"/>
      <x:c r="O231" s="25"/>
      <x:c r="P231" s="25"/>
      <x:c r="Q231" s="25"/>
      <x:c r="R231" s="25"/>
      <x:c r="S231" s="25"/>
      <x:c r="T231" s="25"/>
      <x:c r="U231" s="25"/>
      <x:c r="V231" s="25"/>
      <x:c r="W231" s="25"/>
      <x:c r="X231" s="25"/>
      <x:c r="Y231" s="25"/>
      <x:c r="Z231" s="25"/>
    </x:row>
    <x:row r="232">
      <x:c r="A232" s="25"/>
      <x:c r="B232" s="25"/>
      <x:c r="C232" s="25"/>
      <x:c r="D232" s="25"/>
      <x:c r="E232" s="25"/>
      <x:c r="F232" s="25"/>
      <x:c r="G232" s="25"/>
      <x:c r="H232" s="25"/>
      <x:c r="I232" s="25"/>
      <x:c r="J232" s="25"/>
      <x:c r="K232" s="25"/>
      <x:c r="L232" s="25"/>
      <x:c r="M232" s="25"/>
      <x:c r="N232" s="25"/>
      <x:c r="O232" s="25"/>
      <x:c r="P232" s="25"/>
      <x:c r="Q232" s="25"/>
      <x:c r="R232" s="25"/>
      <x:c r="S232" s="25"/>
      <x:c r="T232" s="25"/>
      <x:c r="U232" s="25"/>
      <x:c r="V232" s="25"/>
      <x:c r="W232" s="25"/>
      <x:c r="X232" s="25"/>
      <x:c r="Y232" s="25"/>
      <x:c r="Z232" s="25"/>
    </x:row>
    <x:row r="233">
      <x:c r="A233" s="25"/>
      <x:c r="B233" s="25"/>
      <x:c r="C233" s="25"/>
      <x:c r="D233" s="25"/>
      <x:c r="E233" s="25"/>
      <x:c r="F233" s="25"/>
      <x:c r="G233" s="25"/>
      <x:c r="H233" s="25"/>
      <x:c r="I233" s="25"/>
      <x:c r="J233" s="25"/>
      <x:c r="K233" s="25"/>
      <x:c r="L233" s="25"/>
      <x:c r="M233" s="25"/>
      <x:c r="N233" s="25"/>
      <x:c r="O233" s="25"/>
      <x:c r="P233" s="25"/>
      <x:c r="Q233" s="25"/>
      <x:c r="R233" s="25"/>
      <x:c r="S233" s="25"/>
      <x:c r="T233" s="25"/>
      <x:c r="U233" s="25"/>
      <x:c r="V233" s="25"/>
      <x:c r="W233" s="25"/>
      <x:c r="X233" s="25"/>
      <x:c r="Y233" s="25"/>
      <x:c r="Z233" s="25"/>
    </x:row>
    <x:row r="234">
      <x:c r="A234" s="25"/>
      <x:c r="B234" s="25"/>
      <x:c r="C234" s="25"/>
      <x:c r="D234" s="25"/>
      <x:c r="E234" s="25"/>
      <x:c r="F234" s="25"/>
      <x:c r="G234" s="25"/>
      <x:c r="H234" s="25"/>
      <x:c r="I234" s="25"/>
      <x:c r="J234" s="25"/>
      <x:c r="K234" s="25"/>
      <x:c r="L234" s="25"/>
      <x:c r="M234" s="25"/>
      <x:c r="N234" s="25"/>
      <x:c r="O234" s="25"/>
      <x:c r="P234" s="25"/>
      <x:c r="Q234" s="25"/>
      <x:c r="R234" s="25"/>
      <x:c r="S234" s="25"/>
      <x:c r="T234" s="25"/>
      <x:c r="U234" s="25"/>
      <x:c r="V234" s="25"/>
      <x:c r="W234" s="25"/>
      <x:c r="X234" s="25"/>
      <x:c r="Y234" s="25"/>
      <x:c r="Z234" s="25"/>
    </x:row>
    <x:row r="235">
      <x:c r="A235" s="25"/>
      <x:c r="B235" s="25"/>
      <x:c r="C235" s="25"/>
      <x:c r="D235" s="25"/>
      <x:c r="E235" s="25"/>
      <x:c r="F235" s="25"/>
      <x:c r="G235" s="25"/>
      <x:c r="H235" s="25"/>
      <x:c r="I235" s="25"/>
      <x:c r="J235" s="25"/>
      <x:c r="K235" s="25"/>
      <x:c r="L235" s="25"/>
      <x:c r="M235" s="25"/>
      <x:c r="N235" s="25"/>
      <x:c r="O235" s="25"/>
      <x:c r="P235" s="25"/>
      <x:c r="Q235" s="25"/>
      <x:c r="R235" s="25"/>
      <x:c r="S235" s="25"/>
      <x:c r="T235" s="25"/>
      <x:c r="U235" s="25"/>
      <x:c r="V235" s="25"/>
      <x:c r="W235" s="25"/>
      <x:c r="X235" s="25"/>
      <x:c r="Y235" s="25"/>
      <x:c r="Z235" s="25"/>
    </x:row>
    <x:row r="236">
      <x:c r="A236" s="25"/>
      <x:c r="B236" s="25"/>
      <x:c r="C236" s="25"/>
      <x:c r="D236" s="25"/>
      <x:c r="E236" s="25"/>
      <x:c r="F236" s="25"/>
      <x:c r="G236" s="25"/>
      <x:c r="H236" s="25"/>
      <x:c r="I236" s="25"/>
      <x:c r="J236" s="25"/>
      <x:c r="K236" s="25"/>
      <x:c r="L236" s="25"/>
      <x:c r="M236" s="25"/>
      <x:c r="N236" s="25"/>
      <x:c r="O236" s="25"/>
      <x:c r="P236" s="25"/>
      <x:c r="Q236" s="25"/>
      <x:c r="R236" s="25"/>
      <x:c r="S236" s="25"/>
      <x:c r="T236" s="25"/>
      <x:c r="U236" s="25"/>
      <x:c r="V236" s="25"/>
      <x:c r="W236" s="25"/>
      <x:c r="X236" s="25"/>
      <x:c r="Y236" s="25"/>
      <x:c r="Z236" s="25"/>
    </x:row>
    <x:row r="237">
      <x:c r="A237" s="25"/>
      <x:c r="B237" s="25"/>
      <x:c r="C237" s="25"/>
      <x:c r="D237" s="25"/>
      <x:c r="E237" s="25"/>
      <x:c r="F237" s="25"/>
      <x:c r="G237" s="25"/>
      <x:c r="H237" s="25"/>
      <x:c r="I237" s="25"/>
      <x:c r="J237" s="25"/>
      <x:c r="K237" s="25"/>
      <x:c r="L237" s="25"/>
      <x:c r="M237" s="25"/>
      <x:c r="N237" s="25"/>
      <x:c r="O237" s="25"/>
      <x:c r="P237" s="25"/>
      <x:c r="Q237" s="25"/>
      <x:c r="R237" s="25"/>
      <x:c r="S237" s="25"/>
      <x:c r="T237" s="25"/>
      <x:c r="U237" s="25"/>
      <x:c r="V237" s="25"/>
      <x:c r="W237" s="25"/>
      <x:c r="X237" s="25"/>
      <x:c r="Y237" s="25"/>
      <x:c r="Z237" s="25"/>
    </x:row>
    <x:row r="238">
      <x:c r="A238" s="25"/>
      <x:c r="B238" s="25"/>
      <x:c r="C238" s="25"/>
      <x:c r="D238" s="25"/>
      <x:c r="E238" s="25"/>
      <x:c r="F238" s="25"/>
      <x:c r="G238" s="25"/>
      <x:c r="H238" s="25"/>
      <x:c r="I238" s="25"/>
      <x:c r="J238" s="25"/>
      <x:c r="K238" s="25"/>
      <x:c r="L238" s="25"/>
      <x:c r="M238" s="25"/>
      <x:c r="N238" s="25"/>
      <x:c r="O238" s="25"/>
      <x:c r="P238" s="25"/>
      <x:c r="Q238" s="25"/>
      <x:c r="R238" s="25"/>
      <x:c r="S238" s="25"/>
      <x:c r="T238" s="25"/>
      <x:c r="U238" s="25"/>
      <x:c r="V238" s="25"/>
      <x:c r="W238" s="25"/>
      <x:c r="X238" s="25"/>
      <x:c r="Y238" s="25"/>
      <x:c r="Z238" s="25"/>
    </x:row>
    <x:row r="239">
      <x:c r="A239" s="25"/>
      <x:c r="B239" s="25"/>
      <x:c r="C239" s="25"/>
      <x:c r="D239" s="25"/>
      <x:c r="E239" s="25"/>
      <x:c r="F239" s="25"/>
      <x:c r="G239" s="25"/>
      <x:c r="H239" s="25"/>
      <x:c r="I239" s="25"/>
      <x:c r="J239" s="25"/>
      <x:c r="K239" s="25"/>
      <x:c r="L239" s="25"/>
      <x:c r="M239" s="25"/>
      <x:c r="N239" s="25"/>
      <x:c r="O239" s="25"/>
      <x:c r="P239" s="25"/>
      <x:c r="Q239" s="25"/>
      <x:c r="R239" s="25"/>
      <x:c r="S239" s="25"/>
      <x:c r="T239" s="25"/>
      <x:c r="U239" s="25"/>
      <x:c r="V239" s="25"/>
      <x:c r="W239" s="25"/>
      <x:c r="X239" s="25"/>
      <x:c r="Y239" s="25"/>
      <x:c r="Z239" s="25"/>
    </x:row>
    <x:row r="240">
      <x:c r="A240" s="25"/>
      <x:c r="B240" s="25"/>
      <x:c r="C240" s="25"/>
      <x:c r="D240" s="25"/>
      <x:c r="E240" s="25"/>
      <x:c r="F240" s="25"/>
      <x:c r="G240" s="25"/>
      <x:c r="H240" s="25"/>
      <x:c r="I240" s="25"/>
      <x:c r="J240" s="25"/>
      <x:c r="K240" s="25"/>
      <x:c r="L240" s="25"/>
      <x:c r="M240" s="25"/>
      <x:c r="N240" s="25"/>
      <x:c r="O240" s="25"/>
      <x:c r="P240" s="25"/>
      <x:c r="Q240" s="25"/>
      <x:c r="R240" s="25"/>
      <x:c r="S240" s="25"/>
      <x:c r="T240" s="25"/>
      <x:c r="U240" s="25"/>
      <x:c r="V240" s="25"/>
      <x:c r="W240" s="25"/>
      <x:c r="X240" s="25"/>
      <x:c r="Y240" s="25"/>
      <x:c r="Z240" s="25"/>
    </x:row>
    <x:row r="241">
      <x:c r="A241" s="25"/>
      <x:c r="B241" s="25"/>
      <x:c r="C241" s="25"/>
      <x:c r="D241" s="25"/>
      <x:c r="E241" s="25"/>
      <x:c r="F241" s="25"/>
      <x:c r="G241" s="25"/>
      <x:c r="H241" s="25"/>
      <x:c r="I241" s="25"/>
      <x:c r="J241" s="25"/>
      <x:c r="K241" s="25"/>
      <x:c r="L241" s="25"/>
      <x:c r="M241" s="25"/>
      <x:c r="N241" s="25"/>
      <x:c r="O241" s="25"/>
      <x:c r="P241" s="25"/>
      <x:c r="Q241" s="25"/>
      <x:c r="R241" s="25"/>
      <x:c r="S241" s="25"/>
      <x:c r="T241" s="25"/>
      <x:c r="U241" s="25"/>
      <x:c r="V241" s="25"/>
      <x:c r="W241" s="25"/>
      <x:c r="X241" s="25"/>
      <x:c r="Y241" s="25"/>
      <x:c r="Z241" s="25"/>
    </x:row>
    <x:row r="242">
      <x:c r="A242" s="25"/>
      <x:c r="B242" s="25"/>
      <x:c r="C242" s="25"/>
      <x:c r="D242" s="25"/>
      <x:c r="E242" s="25"/>
      <x:c r="F242" s="25"/>
      <x:c r="G242" s="25"/>
      <x:c r="H242" s="25"/>
      <x:c r="I242" s="25"/>
      <x:c r="J242" s="25"/>
      <x:c r="K242" s="25"/>
      <x:c r="L242" s="25"/>
      <x:c r="M242" s="25"/>
      <x:c r="N242" s="25"/>
      <x:c r="O242" s="25"/>
      <x:c r="P242" s="25"/>
      <x:c r="Q242" s="25"/>
      <x:c r="R242" s="25"/>
      <x:c r="S242" s="25"/>
      <x:c r="T242" s="25"/>
      <x:c r="U242" s="25"/>
      <x:c r="V242" s="25"/>
      <x:c r="W242" s="25"/>
      <x:c r="X242" s="25"/>
      <x:c r="Y242" s="25"/>
      <x:c r="Z242" s="25"/>
    </x:row>
    <x:row r="243">
      <x:c r="A243" s="25"/>
      <x:c r="B243" s="25"/>
      <x:c r="C243" s="25"/>
      <x:c r="D243" s="25"/>
      <x:c r="E243" s="25"/>
      <x:c r="F243" s="25"/>
      <x:c r="G243" s="25"/>
      <x:c r="H243" s="25"/>
      <x:c r="I243" s="25"/>
      <x:c r="J243" s="25"/>
      <x:c r="K243" s="25"/>
      <x:c r="L243" s="25"/>
      <x:c r="M243" s="25"/>
      <x:c r="N243" s="25"/>
      <x:c r="O243" s="25"/>
      <x:c r="P243" s="25"/>
      <x:c r="Q243" s="25"/>
      <x:c r="R243" s="25"/>
      <x:c r="S243" s="25"/>
      <x:c r="T243" s="25"/>
      <x:c r="U243" s="25"/>
      <x:c r="V243" s="25"/>
      <x:c r="W243" s="25"/>
      <x:c r="X243" s="25"/>
      <x:c r="Y243" s="25"/>
      <x:c r="Z243" s="25"/>
    </x:row>
    <x:row r="244">
      <x:c r="A244" s="25"/>
      <x:c r="B244" s="25"/>
      <x:c r="C244" s="25"/>
      <x:c r="D244" s="25"/>
      <x:c r="E244" s="25"/>
      <x:c r="F244" s="25"/>
      <x:c r="G244" s="25"/>
      <x:c r="H244" s="25"/>
      <x:c r="I244" s="25"/>
      <x:c r="J244" s="25"/>
      <x:c r="K244" s="25"/>
      <x:c r="L244" s="25"/>
      <x:c r="M244" s="25"/>
      <x:c r="N244" s="25"/>
      <x:c r="O244" s="25"/>
      <x:c r="P244" s="25"/>
      <x:c r="Q244" s="25"/>
      <x:c r="R244" s="25"/>
      <x:c r="S244" s="25"/>
      <x:c r="T244" s="25"/>
      <x:c r="U244" s="25"/>
      <x:c r="V244" s="25"/>
      <x:c r="W244" s="25"/>
      <x:c r="X244" s="25"/>
      <x:c r="Y244" s="25"/>
      <x:c r="Z244" s="25"/>
    </x:row>
    <x:row r="245">
      <x:c r="A245" s="25"/>
      <x:c r="B245" s="25"/>
      <x:c r="C245" s="25"/>
      <x:c r="D245" s="25"/>
      <x:c r="E245" s="25"/>
      <x:c r="F245" s="25"/>
      <x:c r="G245" s="25"/>
      <x:c r="H245" s="25"/>
      <x:c r="I245" s="25"/>
      <x:c r="J245" s="25"/>
      <x:c r="K245" s="25"/>
      <x:c r="L245" s="25"/>
      <x:c r="M245" s="25"/>
      <x:c r="N245" s="25"/>
      <x:c r="O245" s="25"/>
      <x:c r="P245" s="25"/>
      <x:c r="Q245" s="25"/>
      <x:c r="R245" s="25"/>
      <x:c r="S245" s="25"/>
      <x:c r="T245" s="25"/>
      <x:c r="U245" s="25"/>
      <x:c r="V245" s="25"/>
      <x:c r="W245" s="25"/>
      <x:c r="X245" s="25"/>
      <x:c r="Y245" s="25"/>
      <x:c r="Z245" s="25"/>
    </x:row>
    <x:row r="246">
      <x:c r="A246" s="25"/>
      <x:c r="B246" s="25"/>
      <x:c r="C246" s="25"/>
      <x:c r="D246" s="25"/>
      <x:c r="E246" s="25"/>
      <x:c r="F246" s="25"/>
      <x:c r="G246" s="25"/>
      <x:c r="H246" s="25"/>
      <x:c r="I246" s="25"/>
      <x:c r="J246" s="25"/>
      <x:c r="K246" s="25"/>
      <x:c r="L246" s="25"/>
      <x:c r="M246" s="25"/>
      <x:c r="N246" s="25"/>
      <x:c r="O246" s="25"/>
      <x:c r="P246" s="25"/>
      <x:c r="Q246" s="25"/>
      <x:c r="R246" s="25"/>
      <x:c r="S246" s="25"/>
      <x:c r="T246" s="25"/>
      <x:c r="U246" s="25"/>
      <x:c r="V246" s="25"/>
      <x:c r="W246" s="25"/>
      <x:c r="X246" s="25"/>
      <x:c r="Y246" s="25"/>
      <x:c r="Z246" s="25"/>
    </x:row>
    <x:row r="247">
      <x:c r="A247" s="25"/>
      <x:c r="B247" s="25"/>
      <x:c r="C247" s="25"/>
      <x:c r="D247" s="25"/>
      <x:c r="E247" s="25"/>
      <x:c r="F247" s="25"/>
      <x:c r="G247" s="25"/>
      <x:c r="H247" s="25"/>
      <x:c r="I247" s="25"/>
      <x:c r="J247" s="25"/>
      <x:c r="K247" s="25"/>
      <x:c r="L247" s="25"/>
      <x:c r="M247" s="25"/>
      <x:c r="N247" s="25"/>
      <x:c r="O247" s="25"/>
      <x:c r="P247" s="25"/>
      <x:c r="Q247" s="25"/>
      <x:c r="R247" s="25"/>
      <x:c r="S247" s="25"/>
      <x:c r="T247" s="25"/>
      <x:c r="U247" s="25"/>
      <x:c r="V247" s="25"/>
      <x:c r="W247" s="25"/>
      <x:c r="X247" s="25"/>
      <x:c r="Y247" s="25"/>
      <x:c r="Z247" s="25"/>
    </x:row>
    <x:row r="248">
      <x:c r="A248" s="25"/>
      <x:c r="B248" s="25"/>
      <x:c r="C248" s="25"/>
      <x:c r="D248" s="25"/>
      <x:c r="E248" s="25"/>
      <x:c r="F248" s="25"/>
      <x:c r="G248" s="25"/>
      <x:c r="H248" s="25"/>
      <x:c r="I248" s="25"/>
      <x:c r="J248" s="25"/>
      <x:c r="K248" s="25"/>
      <x:c r="L248" s="25"/>
      <x:c r="M248" s="25"/>
      <x:c r="N248" s="25"/>
      <x:c r="O248" s="25"/>
      <x:c r="P248" s="25"/>
      <x:c r="Q248" s="25"/>
      <x:c r="R248" s="25"/>
      <x:c r="S248" s="25"/>
      <x:c r="T248" s="25"/>
      <x:c r="U248" s="25"/>
      <x:c r="V248" s="25"/>
      <x:c r="W248" s="25"/>
      <x:c r="X248" s="25"/>
      <x:c r="Y248" s="25"/>
      <x:c r="Z248" s="25"/>
    </x:row>
    <x:row r="249">
      <x:c r="A249" s="25"/>
      <x:c r="B249" s="25"/>
      <x:c r="C249" s="25"/>
      <x:c r="D249" s="25"/>
      <x:c r="E249" s="25"/>
      <x:c r="F249" s="25"/>
      <x:c r="G249" s="25"/>
      <x:c r="H249" s="25"/>
      <x:c r="I249" s="25"/>
      <x:c r="J249" s="25"/>
      <x:c r="K249" s="25"/>
      <x:c r="L249" s="25"/>
      <x:c r="M249" s="25"/>
      <x:c r="N249" s="25"/>
      <x:c r="O249" s="25"/>
      <x:c r="P249" s="25"/>
      <x:c r="Q249" s="25"/>
      <x:c r="R249" s="25"/>
      <x:c r="S249" s="25"/>
      <x:c r="T249" s="25"/>
      <x:c r="U249" s="25"/>
      <x:c r="V249" s="25"/>
      <x:c r="W249" s="25"/>
      <x:c r="X249" s="25"/>
      <x:c r="Y249" s="25"/>
      <x:c r="Z249" s="25"/>
    </x:row>
    <x:row r="250">
      <x:c r="A250" s="25"/>
      <x:c r="B250" s="25"/>
      <x:c r="C250" s="25"/>
      <x:c r="D250" s="25"/>
      <x:c r="E250" s="25"/>
      <x:c r="F250" s="25"/>
      <x:c r="G250" s="25"/>
      <x:c r="H250" s="25"/>
      <x:c r="I250" s="25"/>
      <x:c r="J250" s="25"/>
      <x:c r="K250" s="25"/>
      <x:c r="L250" s="25"/>
      <x:c r="M250" s="25"/>
      <x:c r="N250" s="25"/>
      <x:c r="O250" s="25"/>
      <x:c r="P250" s="25"/>
      <x:c r="Q250" s="25"/>
      <x:c r="R250" s="25"/>
      <x:c r="S250" s="25"/>
      <x:c r="T250" s="25"/>
      <x:c r="U250" s="25"/>
      <x:c r="V250" s="25"/>
      <x:c r="W250" s="25"/>
      <x:c r="X250" s="25"/>
      <x:c r="Y250" s="25"/>
      <x:c r="Z250" s="25"/>
    </x:row>
    <x:row r="251">
      <x:c r="A251" s="25"/>
      <x:c r="B251" s="25"/>
      <x:c r="C251" s="25"/>
      <x:c r="D251" s="25"/>
      <x:c r="E251" s="25"/>
      <x:c r="F251" s="25"/>
      <x:c r="G251" s="25"/>
      <x:c r="H251" s="25"/>
      <x:c r="I251" s="25"/>
      <x:c r="J251" s="25"/>
      <x:c r="K251" s="25"/>
      <x:c r="L251" s="25"/>
      <x:c r="M251" s="25"/>
      <x:c r="N251" s="25"/>
      <x:c r="O251" s="25"/>
      <x:c r="P251" s="25"/>
      <x:c r="Q251" s="25"/>
      <x:c r="R251" s="25"/>
      <x:c r="S251" s="25"/>
      <x:c r="T251" s="25"/>
      <x:c r="U251" s="25"/>
      <x:c r="V251" s="25"/>
      <x:c r="W251" s="25"/>
      <x:c r="X251" s="25"/>
      <x:c r="Y251" s="25"/>
      <x:c r="Z251" s="25"/>
    </x:row>
    <x:row r="252">
      <x:c r="A252" s="25"/>
      <x:c r="B252" s="25"/>
      <x:c r="C252" s="25"/>
      <x:c r="D252" s="25"/>
      <x:c r="E252" s="25"/>
      <x:c r="F252" s="25"/>
      <x:c r="G252" s="25"/>
      <x:c r="H252" s="25"/>
      <x:c r="I252" s="25"/>
      <x:c r="J252" s="25"/>
      <x:c r="K252" s="25"/>
      <x:c r="L252" s="25"/>
      <x:c r="M252" s="25"/>
      <x:c r="N252" s="25"/>
      <x:c r="O252" s="25"/>
      <x:c r="P252" s="25"/>
      <x:c r="Q252" s="25"/>
      <x:c r="R252" s="25"/>
      <x:c r="S252" s="25"/>
      <x:c r="T252" s="25"/>
      <x:c r="U252" s="25"/>
      <x:c r="V252" s="25"/>
      <x:c r="W252" s="25"/>
      <x:c r="X252" s="25"/>
      <x:c r="Y252" s="25"/>
      <x:c r="Z252" s="25"/>
    </x:row>
    <x:row r="253">
      <x:c r="A253" s="25"/>
      <x:c r="B253" s="25"/>
      <x:c r="C253" s="25"/>
      <x:c r="D253" s="25"/>
      <x:c r="E253" s="25"/>
      <x:c r="F253" s="25"/>
      <x:c r="G253" s="25"/>
      <x:c r="H253" s="25"/>
      <x:c r="I253" s="25"/>
      <x:c r="J253" s="25"/>
      <x:c r="K253" s="25"/>
      <x:c r="L253" s="25"/>
      <x:c r="M253" s="25"/>
      <x:c r="N253" s="25"/>
      <x:c r="O253" s="25"/>
      <x:c r="P253" s="25"/>
      <x:c r="Q253" s="25"/>
      <x:c r="R253" s="25"/>
      <x:c r="S253" s="25"/>
      <x:c r="T253" s="25"/>
      <x:c r="U253" s="25"/>
      <x:c r="V253" s="25"/>
      <x:c r="W253" s="25"/>
      <x:c r="X253" s="25"/>
      <x:c r="Y253" s="25"/>
      <x:c r="Z253" s="25"/>
    </x:row>
    <x:row r="254">
      <x:c r="A254" s="25"/>
      <x:c r="B254" s="25"/>
      <x:c r="C254" s="25"/>
      <x:c r="D254" s="25"/>
      <x:c r="E254" s="25"/>
      <x:c r="F254" s="25"/>
      <x:c r="G254" s="25"/>
      <x:c r="H254" s="25"/>
      <x:c r="I254" s="25"/>
      <x:c r="J254" s="25"/>
      <x:c r="K254" s="25"/>
      <x:c r="L254" s="25"/>
      <x:c r="M254" s="25"/>
      <x:c r="N254" s="25"/>
      <x:c r="O254" s="25"/>
      <x:c r="P254" s="25"/>
      <x:c r="Q254" s="25"/>
      <x:c r="R254" s="25"/>
      <x:c r="S254" s="25"/>
      <x:c r="T254" s="25"/>
      <x:c r="U254" s="25"/>
      <x:c r="V254" s="25"/>
      <x:c r="W254" s="25"/>
      <x:c r="X254" s="25"/>
      <x:c r="Y254" s="25"/>
      <x:c r="Z254" s="25"/>
    </x:row>
    <x:row r="255">
      <x:c r="A255" s="25"/>
      <x:c r="B255" s="25"/>
      <x:c r="C255" s="25"/>
      <x:c r="D255" s="25"/>
      <x:c r="E255" s="25"/>
      <x:c r="F255" s="25"/>
      <x:c r="G255" s="25"/>
      <x:c r="H255" s="25"/>
      <x:c r="I255" s="25"/>
      <x:c r="J255" s="25"/>
      <x:c r="K255" s="25"/>
      <x:c r="L255" s="25"/>
      <x:c r="M255" s="25"/>
      <x:c r="N255" s="25"/>
      <x:c r="O255" s="25"/>
      <x:c r="P255" s="25"/>
      <x:c r="Q255" s="25"/>
      <x:c r="R255" s="25"/>
      <x:c r="S255" s="25"/>
      <x:c r="T255" s="25"/>
      <x:c r="U255" s="25"/>
      <x:c r="V255" s="25"/>
      <x:c r="W255" s="25"/>
      <x:c r="X255" s="25"/>
      <x:c r="Y255" s="25"/>
      <x:c r="Z255" s="25"/>
    </x:row>
    <x:row r="256">
      <x:c r="A256" s="25"/>
      <x:c r="B256" s="25"/>
      <x:c r="C256" s="25"/>
      <x:c r="D256" s="25"/>
      <x:c r="E256" s="25"/>
      <x:c r="F256" s="25"/>
      <x:c r="G256" s="25"/>
      <x:c r="H256" s="25"/>
      <x:c r="I256" s="25"/>
      <x:c r="J256" s="25"/>
      <x:c r="K256" s="25"/>
      <x:c r="L256" s="25"/>
      <x:c r="M256" s="25"/>
      <x:c r="N256" s="25"/>
      <x:c r="O256" s="25"/>
      <x:c r="P256" s="25"/>
      <x:c r="Q256" s="25"/>
      <x:c r="R256" s="25"/>
      <x:c r="S256" s="25"/>
      <x:c r="T256" s="25"/>
      <x:c r="U256" s="25"/>
      <x:c r="V256" s="25"/>
      <x:c r="W256" s="25"/>
      <x:c r="X256" s="25"/>
      <x:c r="Y256" s="25"/>
      <x:c r="Z256" s="25"/>
    </x:row>
    <x:row r="257">
      <x:c r="A257" s="25"/>
      <x:c r="B257" s="25"/>
      <x:c r="C257" s="25"/>
      <x:c r="D257" s="25"/>
      <x:c r="E257" s="25"/>
      <x:c r="F257" s="25"/>
      <x:c r="G257" s="25"/>
      <x:c r="H257" s="25"/>
      <x:c r="I257" s="25"/>
      <x:c r="J257" s="25"/>
      <x:c r="K257" s="25"/>
      <x:c r="L257" s="25"/>
      <x:c r="M257" s="25"/>
      <x:c r="N257" s="25"/>
      <x:c r="O257" s="25"/>
      <x:c r="P257" s="25"/>
      <x:c r="Q257" s="25"/>
      <x:c r="R257" s="25"/>
      <x:c r="S257" s="25"/>
      <x:c r="T257" s="25"/>
      <x:c r="U257" s="25"/>
      <x:c r="V257" s="25"/>
      <x:c r="W257" s="25"/>
      <x:c r="X257" s="25"/>
      <x:c r="Y257" s="25"/>
      <x:c r="Z257" s="25"/>
    </x:row>
    <x:row r="258">
      <x:c r="A258" s="25"/>
      <x:c r="B258" s="25"/>
      <x:c r="C258" s="25"/>
      <x:c r="D258" s="25"/>
      <x:c r="E258" s="25"/>
      <x:c r="F258" s="25"/>
      <x:c r="G258" s="25"/>
      <x:c r="H258" s="25"/>
      <x:c r="I258" s="25"/>
      <x:c r="J258" s="25"/>
      <x:c r="K258" s="25"/>
      <x:c r="L258" s="25"/>
      <x:c r="M258" s="25"/>
      <x:c r="N258" s="25"/>
      <x:c r="O258" s="25"/>
      <x:c r="P258" s="25"/>
      <x:c r="Q258" s="25"/>
      <x:c r="R258" s="25"/>
      <x:c r="S258" s="25"/>
      <x:c r="T258" s="25"/>
      <x:c r="U258" s="25"/>
      <x:c r="V258" s="25"/>
      <x:c r="W258" s="25"/>
      <x:c r="X258" s="25"/>
      <x:c r="Y258" s="25"/>
      <x:c r="Z258" s="25"/>
    </x:row>
    <x:row r="259">
      <x:c r="A259" s="25"/>
      <x:c r="B259" s="25"/>
      <x:c r="C259" s="25"/>
      <x:c r="D259" s="25"/>
      <x:c r="E259" s="25"/>
      <x:c r="F259" s="25"/>
      <x:c r="G259" s="25"/>
      <x:c r="H259" s="25"/>
      <x:c r="I259" s="25"/>
      <x:c r="J259" s="25"/>
      <x:c r="K259" s="25"/>
      <x:c r="L259" s="25"/>
      <x:c r="M259" s="25"/>
      <x:c r="N259" s="25"/>
      <x:c r="O259" s="25"/>
      <x:c r="P259" s="25"/>
      <x:c r="Q259" s="25"/>
      <x:c r="R259" s="25"/>
      <x:c r="S259" s="25"/>
      <x:c r="T259" s="25"/>
      <x:c r="U259" s="25"/>
      <x:c r="V259" s="25"/>
      <x:c r="W259" s="25"/>
      <x:c r="X259" s="25"/>
      <x:c r="Y259" s="25"/>
      <x:c r="Z259" s="25"/>
    </x:row>
    <x:row r="260">
      <x:c r="A260" s="25"/>
      <x:c r="B260" s="25"/>
      <x:c r="C260" s="25"/>
      <x:c r="D260" s="25"/>
      <x:c r="E260" s="25"/>
      <x:c r="F260" s="25"/>
      <x:c r="G260" s="25"/>
      <x:c r="H260" s="25"/>
      <x:c r="I260" s="25"/>
      <x:c r="J260" s="25"/>
      <x:c r="K260" s="25"/>
      <x:c r="L260" s="25"/>
      <x:c r="M260" s="25"/>
      <x:c r="N260" s="25"/>
      <x:c r="O260" s="25"/>
      <x:c r="P260" s="25"/>
      <x:c r="Q260" s="25"/>
      <x:c r="R260" s="25"/>
      <x:c r="S260" s="25"/>
      <x:c r="T260" s="25"/>
      <x:c r="U260" s="25"/>
      <x:c r="V260" s="25"/>
      <x:c r="W260" s="25"/>
      <x:c r="X260" s="25"/>
      <x:c r="Y260" s="25"/>
      <x:c r="Z260" s="25"/>
    </x:row>
    <x:row r="261">
      <x:c r="A261" s="25"/>
      <x:c r="B261" s="25"/>
      <x:c r="C261" s="25"/>
      <x:c r="D261" s="25"/>
      <x:c r="E261" s="25"/>
      <x:c r="F261" s="25"/>
      <x:c r="G261" s="25"/>
      <x:c r="H261" s="25"/>
      <x:c r="I261" s="25"/>
      <x:c r="J261" s="25"/>
      <x:c r="K261" s="25"/>
      <x:c r="L261" s="25"/>
      <x:c r="M261" s="25"/>
      <x:c r="N261" s="25"/>
      <x:c r="O261" s="25"/>
      <x:c r="P261" s="25"/>
      <x:c r="Q261" s="25"/>
      <x:c r="R261" s="25"/>
      <x:c r="S261" s="25"/>
      <x:c r="T261" s="25"/>
      <x:c r="U261" s="25"/>
      <x:c r="V261" s="25"/>
      <x:c r="W261" s="25"/>
      <x:c r="X261" s="25"/>
      <x:c r="Y261" s="25"/>
      <x:c r="Z261" s="25"/>
    </x:row>
    <x:row r="262">
      <x:c r="A262" s="25"/>
      <x:c r="B262" s="25"/>
      <x:c r="C262" s="25"/>
      <x:c r="D262" s="25"/>
      <x:c r="E262" s="25"/>
      <x:c r="F262" s="25"/>
      <x:c r="G262" s="25"/>
      <x:c r="H262" s="25"/>
      <x:c r="I262" s="25"/>
      <x:c r="J262" s="25"/>
      <x:c r="K262" s="25"/>
      <x:c r="L262" s="25"/>
      <x:c r="M262" s="25"/>
      <x:c r="N262" s="25"/>
      <x:c r="O262" s="25"/>
      <x:c r="P262" s="25"/>
      <x:c r="Q262" s="25"/>
      <x:c r="R262" s="25"/>
      <x:c r="S262" s="25"/>
      <x:c r="T262" s="25"/>
      <x:c r="U262" s="25"/>
      <x:c r="V262" s="25"/>
      <x:c r="W262" s="25"/>
      <x:c r="X262" s="25"/>
      <x:c r="Y262" s="25"/>
      <x:c r="Z262" s="25"/>
    </x:row>
    <x:row r="263">
      <x:c r="A263" s="25"/>
      <x:c r="B263" s="25"/>
      <x:c r="C263" s="25"/>
      <x:c r="D263" s="25"/>
      <x:c r="E263" s="25"/>
      <x:c r="F263" s="25"/>
      <x:c r="G263" s="25"/>
      <x:c r="H263" s="25"/>
      <x:c r="I263" s="25"/>
      <x:c r="J263" s="25"/>
      <x:c r="K263" s="25"/>
      <x:c r="L263" s="25"/>
      <x:c r="M263" s="25"/>
      <x:c r="N263" s="25"/>
      <x:c r="O263" s="25"/>
      <x:c r="P263" s="25"/>
      <x:c r="Q263" s="25"/>
      <x:c r="R263" s="25"/>
      <x:c r="S263" s="25"/>
      <x:c r="T263" s="25"/>
      <x:c r="U263" s="25"/>
      <x:c r="V263" s="25"/>
      <x:c r="W263" s="25"/>
      <x:c r="X263" s="25"/>
      <x:c r="Y263" s="25"/>
      <x:c r="Z263" s="25"/>
    </x:row>
    <x:row r="264">
      <x:c r="A264" s="25"/>
      <x:c r="B264" s="25"/>
      <x:c r="C264" s="25"/>
      <x:c r="D264" s="25"/>
      <x:c r="E264" s="25"/>
      <x:c r="F264" s="25"/>
      <x:c r="G264" s="25"/>
      <x:c r="H264" s="25"/>
      <x:c r="I264" s="25"/>
      <x:c r="J264" s="25"/>
      <x:c r="K264" s="25"/>
      <x:c r="L264" s="25"/>
      <x:c r="M264" s="25"/>
      <x:c r="N264" s="25"/>
      <x:c r="O264" s="25"/>
      <x:c r="P264" s="25"/>
      <x:c r="Q264" s="25"/>
      <x:c r="R264" s="25"/>
      <x:c r="S264" s="25"/>
      <x:c r="T264" s="25"/>
      <x:c r="U264" s="25"/>
      <x:c r="V264" s="25"/>
      <x:c r="W264" s="25"/>
      <x:c r="X264" s="25"/>
      <x:c r="Y264" s="25"/>
      <x:c r="Z264" s="25"/>
    </x:row>
    <x:row r="265">
      <x:c r="A265" s="25"/>
      <x:c r="B265" s="25"/>
      <x:c r="C265" s="25"/>
      <x:c r="D265" s="25"/>
      <x:c r="E265" s="25"/>
      <x:c r="F265" s="25"/>
      <x:c r="G265" s="25"/>
      <x:c r="H265" s="25"/>
      <x:c r="I265" s="25"/>
      <x:c r="J265" s="25"/>
      <x:c r="K265" s="25"/>
      <x:c r="L265" s="25"/>
      <x:c r="M265" s="25"/>
      <x:c r="N265" s="25"/>
      <x:c r="O265" s="25"/>
      <x:c r="P265" s="25"/>
      <x:c r="Q265" s="25"/>
      <x:c r="R265" s="25"/>
      <x:c r="S265" s="25"/>
      <x:c r="T265" s="25"/>
      <x:c r="U265" s="25"/>
      <x:c r="V265" s="25"/>
      <x:c r="W265" s="25"/>
      <x:c r="X265" s="25"/>
      <x:c r="Y265" s="25"/>
      <x:c r="Z265" s="25"/>
    </x:row>
    <x:row r="266">
      <x:c r="A266" s="25"/>
      <x:c r="B266" s="25"/>
      <x:c r="C266" s="25"/>
      <x:c r="D266" s="25"/>
      <x:c r="E266" s="25"/>
      <x:c r="F266" s="25"/>
      <x:c r="G266" s="25"/>
      <x:c r="H266" s="25"/>
      <x:c r="I266" s="25"/>
      <x:c r="J266" s="25"/>
      <x:c r="K266" s="25"/>
      <x:c r="L266" s="25"/>
      <x:c r="M266" s="25"/>
      <x:c r="N266" s="25"/>
      <x:c r="O266" s="25"/>
      <x:c r="P266" s="25"/>
      <x:c r="Q266" s="25"/>
      <x:c r="R266" s="25"/>
      <x:c r="S266" s="25"/>
      <x:c r="T266" s="25"/>
      <x:c r="U266" s="25"/>
      <x:c r="V266" s="25"/>
      <x:c r="W266" s="25"/>
      <x:c r="X266" s="25"/>
      <x:c r="Y266" s="25"/>
      <x:c r="Z266" s="25"/>
    </x:row>
    <x:row r="267">
      <x:c r="A267" s="25"/>
      <x:c r="B267" s="25"/>
      <x:c r="C267" s="25"/>
      <x:c r="D267" s="25"/>
      <x:c r="E267" s="25"/>
      <x:c r="F267" s="25"/>
      <x:c r="G267" s="25"/>
      <x:c r="H267" s="25"/>
      <x:c r="I267" s="25"/>
      <x:c r="J267" s="25"/>
      <x:c r="K267" s="25"/>
      <x:c r="L267" s="25"/>
      <x:c r="M267" s="25"/>
      <x:c r="N267" s="25"/>
      <x:c r="O267" s="25"/>
      <x:c r="P267" s="25"/>
      <x:c r="Q267" s="25"/>
      <x:c r="R267" s="25"/>
      <x:c r="S267" s="25"/>
      <x:c r="T267" s="25"/>
      <x:c r="U267" s="25"/>
      <x:c r="V267" s="25"/>
      <x:c r="W267" s="25"/>
      <x:c r="X267" s="25"/>
      <x:c r="Y267" s="25"/>
      <x:c r="Z267" s="25"/>
    </x:row>
    <x:row r="268">
      <x:c r="A268" s="25"/>
      <x:c r="B268" s="25"/>
      <x:c r="C268" s="25"/>
      <x:c r="D268" s="25"/>
      <x:c r="E268" s="25"/>
      <x:c r="F268" s="25"/>
      <x:c r="G268" s="25"/>
      <x:c r="H268" s="25"/>
      <x:c r="I268" s="25"/>
      <x:c r="J268" s="25"/>
      <x:c r="K268" s="25"/>
      <x:c r="L268" s="25"/>
      <x:c r="M268" s="25"/>
      <x:c r="N268" s="25"/>
      <x:c r="O268" s="25"/>
      <x:c r="P268" s="25"/>
      <x:c r="Q268" s="25"/>
      <x:c r="R268" s="25"/>
      <x:c r="S268" s="25"/>
      <x:c r="T268" s="25"/>
      <x:c r="U268" s="25"/>
      <x:c r="V268" s="25"/>
      <x:c r="W268" s="25"/>
      <x:c r="X268" s="25"/>
      <x:c r="Y268" s="25"/>
      <x:c r="Z268" s="25"/>
    </x:row>
    <x:row r="269">
      <x:c r="A269" s="25"/>
      <x:c r="B269" s="25"/>
      <x:c r="C269" s="25"/>
      <x:c r="D269" s="25"/>
      <x:c r="E269" s="25"/>
      <x:c r="F269" s="25"/>
      <x:c r="G269" s="25"/>
      <x:c r="H269" s="25"/>
      <x:c r="I269" s="25"/>
      <x:c r="J269" s="25"/>
      <x:c r="K269" s="25"/>
      <x:c r="L269" s="25"/>
      <x:c r="M269" s="25"/>
      <x:c r="N269" s="25"/>
      <x:c r="O269" s="25"/>
      <x:c r="P269" s="25"/>
      <x:c r="Q269" s="25"/>
      <x:c r="R269" s="25"/>
      <x:c r="S269" s="25"/>
      <x:c r="T269" s="25"/>
      <x:c r="U269" s="25"/>
      <x:c r="V269" s="25"/>
      <x:c r="W269" s="25"/>
      <x:c r="X269" s="25"/>
      <x:c r="Y269" s="25"/>
      <x:c r="Z269" s="25"/>
    </x:row>
    <x:row r="270">
      <x:c r="A270" s="25"/>
      <x:c r="B270" s="25"/>
      <x:c r="C270" s="25"/>
      <x:c r="D270" s="25"/>
      <x:c r="E270" s="25"/>
      <x:c r="F270" s="25"/>
      <x:c r="G270" s="25"/>
      <x:c r="H270" s="25"/>
      <x:c r="I270" s="25"/>
      <x:c r="J270" s="25"/>
      <x:c r="K270" s="25"/>
      <x:c r="L270" s="25"/>
      <x:c r="M270" s="25"/>
      <x:c r="N270" s="25"/>
      <x:c r="O270" s="25"/>
      <x:c r="P270" s="25"/>
      <x:c r="Q270" s="25"/>
      <x:c r="R270" s="25"/>
      <x:c r="S270" s="25"/>
      <x:c r="T270" s="25"/>
      <x:c r="U270" s="25"/>
      <x:c r="V270" s="25"/>
      <x:c r="W270" s="25"/>
      <x:c r="X270" s="25"/>
      <x:c r="Y270" s="25"/>
      <x:c r="Z270" s="25"/>
    </x:row>
    <x:row r="271">
      <x:c r="A271" s="25"/>
      <x:c r="B271" s="25"/>
      <x:c r="C271" s="25"/>
      <x:c r="D271" s="25"/>
      <x:c r="E271" s="25"/>
      <x:c r="F271" s="25"/>
      <x:c r="G271" s="25"/>
      <x:c r="H271" s="25"/>
      <x:c r="I271" s="25"/>
      <x:c r="J271" s="25"/>
      <x:c r="K271" s="25"/>
      <x:c r="L271" s="25"/>
      <x:c r="M271" s="25"/>
      <x:c r="N271" s="25"/>
      <x:c r="O271" s="25"/>
      <x:c r="P271" s="25"/>
      <x:c r="Q271" s="25"/>
      <x:c r="R271" s="25"/>
      <x:c r="S271" s="25"/>
      <x:c r="T271" s="25"/>
      <x:c r="U271" s="25"/>
      <x:c r="V271" s="25"/>
      <x:c r="W271" s="25"/>
      <x:c r="X271" s="25"/>
      <x:c r="Y271" s="25"/>
      <x:c r="Z271" s="25"/>
    </x:row>
    <x:row r="272">
      <x:c r="A272" s="25"/>
      <x:c r="B272" s="25"/>
      <x:c r="C272" s="25"/>
      <x:c r="D272" s="25"/>
      <x:c r="E272" s="25"/>
      <x:c r="F272" s="25"/>
      <x:c r="G272" s="25"/>
      <x:c r="H272" s="25"/>
      <x:c r="I272" s="25"/>
      <x:c r="J272" s="25"/>
      <x:c r="K272" s="25"/>
      <x:c r="L272" s="25"/>
      <x:c r="M272" s="25"/>
      <x:c r="N272" s="25"/>
      <x:c r="O272" s="25"/>
      <x:c r="P272" s="25"/>
      <x:c r="Q272" s="25"/>
      <x:c r="R272" s="25"/>
      <x:c r="S272" s="25"/>
      <x:c r="T272" s="25"/>
      <x:c r="U272" s="25"/>
      <x:c r="V272" s="25"/>
      <x:c r="W272" s="25"/>
      <x:c r="X272" s="25"/>
      <x:c r="Y272" s="25"/>
      <x:c r="Z272" s="25"/>
    </x:row>
    <x:row r="273">
      <x:c r="A273" s="25"/>
      <x:c r="B273" s="25"/>
      <x:c r="C273" s="25"/>
      <x:c r="D273" s="25"/>
      <x:c r="E273" s="25"/>
      <x:c r="F273" s="25"/>
      <x:c r="G273" s="25"/>
      <x:c r="H273" s="25"/>
      <x:c r="I273" s="25"/>
      <x:c r="J273" s="25"/>
      <x:c r="K273" s="25"/>
      <x:c r="L273" s="25"/>
      <x:c r="M273" s="25"/>
      <x:c r="N273" s="25"/>
      <x:c r="O273" s="25"/>
      <x:c r="P273" s="25"/>
      <x:c r="Q273" s="25"/>
      <x:c r="R273" s="25"/>
      <x:c r="S273" s="25"/>
      <x:c r="T273" s="25"/>
      <x:c r="U273" s="25"/>
      <x:c r="V273" s="25"/>
      <x:c r="W273" s="25"/>
      <x:c r="X273" s="25"/>
      <x:c r="Y273" s="25"/>
      <x:c r="Z273" s="25"/>
    </x:row>
    <x:row r="274">
      <x:c r="A274" s="25"/>
      <x:c r="B274" s="25"/>
      <x:c r="C274" s="25"/>
      <x:c r="D274" s="25"/>
      <x:c r="E274" s="25"/>
      <x:c r="F274" s="25"/>
      <x:c r="G274" s="25"/>
      <x:c r="H274" s="25"/>
      <x:c r="I274" s="25"/>
      <x:c r="J274" s="25"/>
      <x:c r="K274" s="25"/>
      <x:c r="L274" s="25"/>
      <x:c r="M274" s="25"/>
      <x:c r="N274" s="25"/>
      <x:c r="O274" s="25"/>
      <x:c r="P274" s="25"/>
      <x:c r="Q274" s="25"/>
      <x:c r="R274" s="25"/>
      <x:c r="S274" s="25"/>
      <x:c r="T274" s="25"/>
      <x:c r="U274" s="25"/>
      <x:c r="V274" s="25"/>
      <x:c r="W274" s="25"/>
      <x:c r="X274" s="25"/>
      <x:c r="Y274" s="25"/>
      <x:c r="Z274" s="25"/>
    </x:row>
    <x:row r="275">
      <x:c r="A275" s="25"/>
      <x:c r="B275" s="25"/>
      <x:c r="C275" s="25"/>
      <x:c r="D275" s="25"/>
      <x:c r="E275" s="25"/>
      <x:c r="F275" s="25"/>
      <x:c r="G275" s="25"/>
      <x:c r="H275" s="25"/>
      <x:c r="I275" s="25"/>
      <x:c r="J275" s="25"/>
      <x:c r="K275" s="25"/>
      <x:c r="L275" s="25"/>
      <x:c r="M275" s="25"/>
      <x:c r="N275" s="25"/>
      <x:c r="O275" s="25"/>
      <x:c r="P275" s="25"/>
      <x:c r="Q275" s="25"/>
      <x:c r="R275" s="25"/>
      <x:c r="S275" s="25"/>
      <x:c r="T275" s="25"/>
      <x:c r="U275" s="25"/>
      <x:c r="V275" s="25"/>
      <x:c r="W275" s="25"/>
      <x:c r="X275" s="25"/>
      <x:c r="Y275" s="25"/>
      <x:c r="Z275" s="25"/>
    </x:row>
    <x:row r="276">
      <x:c r="A276" s="25"/>
      <x:c r="B276" s="25"/>
      <x:c r="C276" s="25"/>
      <x:c r="D276" s="25"/>
      <x:c r="E276" s="25"/>
      <x:c r="F276" s="25"/>
      <x:c r="G276" s="25"/>
      <x:c r="H276" s="25"/>
      <x:c r="I276" s="25"/>
      <x:c r="J276" s="25"/>
      <x:c r="K276" s="25"/>
      <x:c r="L276" s="25"/>
      <x:c r="M276" s="25"/>
      <x:c r="N276" s="25"/>
      <x:c r="O276" s="25"/>
      <x:c r="P276" s="25"/>
      <x:c r="Q276" s="25"/>
      <x:c r="R276" s="25"/>
      <x:c r="S276" s="25"/>
      <x:c r="T276" s="25"/>
      <x:c r="U276" s="25"/>
      <x:c r="V276" s="25"/>
      <x:c r="W276" s="25"/>
      <x:c r="X276" s="25"/>
      <x:c r="Y276" s="25"/>
      <x:c r="Z276" s="25"/>
    </x:row>
    <x:row r="277">
      <x:c r="A277" s="25"/>
      <x:c r="B277" s="25"/>
      <x:c r="C277" s="25"/>
      <x:c r="D277" s="25"/>
      <x:c r="E277" s="25"/>
      <x:c r="F277" s="25"/>
      <x:c r="G277" s="25"/>
      <x:c r="H277" s="25"/>
      <x:c r="I277" s="25"/>
      <x:c r="J277" s="25"/>
      <x:c r="K277" s="25"/>
      <x:c r="L277" s="25"/>
      <x:c r="M277" s="25"/>
      <x:c r="N277" s="25"/>
      <x:c r="O277" s="25"/>
      <x:c r="P277" s="25"/>
      <x:c r="Q277" s="25"/>
      <x:c r="R277" s="25"/>
      <x:c r="S277" s="25"/>
      <x:c r="T277" s="25"/>
      <x:c r="U277" s="25"/>
      <x:c r="V277" s="25"/>
      <x:c r="W277" s="25"/>
      <x:c r="X277" s="25"/>
      <x:c r="Y277" s="25"/>
      <x:c r="Z277" s="25"/>
    </x:row>
    <x:row r="278">
      <x:c r="A278" s="25"/>
      <x:c r="B278" s="25"/>
      <x:c r="C278" s="25"/>
      <x:c r="D278" s="25"/>
      <x:c r="E278" s="25"/>
      <x:c r="F278" s="25"/>
      <x:c r="G278" s="25"/>
      <x:c r="H278" s="25"/>
      <x:c r="I278" s="25"/>
      <x:c r="J278" s="25"/>
      <x:c r="K278" s="25"/>
      <x:c r="L278" s="25"/>
      <x:c r="M278" s="25"/>
      <x:c r="N278" s="25"/>
      <x:c r="O278" s="25"/>
      <x:c r="P278" s="25"/>
      <x:c r="Q278" s="25"/>
      <x:c r="R278" s="25"/>
      <x:c r="S278" s="25"/>
      <x:c r="T278" s="25"/>
      <x:c r="U278" s="25"/>
      <x:c r="V278" s="25"/>
      <x:c r="W278" s="25"/>
      <x:c r="X278" s="25"/>
      <x:c r="Y278" s="25"/>
      <x:c r="Z278" s="25"/>
    </x:row>
    <x:row r="279">
      <x:c r="A279" s="25"/>
      <x:c r="B279" s="25"/>
      <x:c r="C279" s="25"/>
      <x:c r="D279" s="25"/>
      <x:c r="E279" s="25"/>
      <x:c r="F279" s="25"/>
      <x:c r="G279" s="25"/>
      <x:c r="H279" s="25"/>
      <x:c r="I279" s="25"/>
      <x:c r="J279" s="25"/>
      <x:c r="K279" s="25"/>
      <x:c r="L279" s="25"/>
      <x:c r="M279" s="25"/>
      <x:c r="N279" s="25"/>
      <x:c r="O279" s="25"/>
      <x:c r="P279" s="25"/>
      <x:c r="Q279" s="25"/>
      <x:c r="R279" s="25"/>
      <x:c r="S279" s="25"/>
      <x:c r="T279" s="25"/>
      <x:c r="U279" s="25"/>
      <x:c r="V279" s="25"/>
      <x:c r="W279" s="25"/>
      <x:c r="X279" s="25"/>
      <x:c r="Y279" s="25"/>
      <x:c r="Z279" s="25"/>
    </x:row>
    <x:row r="280">
      <x:c r="A280" s="25"/>
      <x:c r="B280" s="25"/>
      <x:c r="C280" s="25"/>
      <x:c r="D280" s="25"/>
      <x:c r="E280" s="25"/>
      <x:c r="F280" s="25"/>
      <x:c r="G280" s="25"/>
      <x:c r="H280" s="25"/>
      <x:c r="I280" s="25"/>
      <x:c r="J280" s="25"/>
      <x:c r="K280" s="25"/>
      <x:c r="L280" s="25"/>
      <x:c r="M280" s="25"/>
      <x:c r="N280" s="25"/>
      <x:c r="O280" s="25"/>
      <x:c r="P280" s="25"/>
      <x:c r="Q280" s="25"/>
      <x:c r="R280" s="25"/>
      <x:c r="S280" s="25"/>
      <x:c r="T280" s="25"/>
      <x:c r="U280" s="25"/>
      <x:c r="V280" s="25"/>
      <x:c r="W280" s="25"/>
      <x:c r="X280" s="25"/>
      <x:c r="Y280" s="25"/>
      <x:c r="Z280" s="25"/>
    </x:row>
    <x:row r="281">
      <x:c r="A281" s="25"/>
      <x:c r="B281" s="25"/>
      <x:c r="C281" s="25"/>
      <x:c r="D281" s="25"/>
      <x:c r="E281" s="25"/>
      <x:c r="F281" s="25"/>
      <x:c r="G281" s="25"/>
      <x:c r="H281" s="25"/>
      <x:c r="I281" s="25"/>
      <x:c r="J281" s="25"/>
      <x:c r="K281" s="25"/>
      <x:c r="L281" s="25"/>
      <x:c r="M281" s="25"/>
      <x:c r="N281" s="25"/>
      <x:c r="O281" s="25"/>
      <x:c r="P281" s="25"/>
      <x:c r="Q281" s="25"/>
      <x:c r="R281" s="25"/>
      <x:c r="S281" s="25"/>
      <x:c r="T281" s="25"/>
      <x:c r="U281" s="25"/>
      <x:c r="V281" s="25"/>
      <x:c r="W281" s="25"/>
      <x:c r="X281" s="25"/>
      <x:c r="Y281" s="25"/>
      <x:c r="Z281" s="25"/>
    </x:row>
    <x:row r="282">
      <x:c r="A282" s="25"/>
      <x:c r="B282" s="25"/>
      <x:c r="C282" s="25"/>
      <x:c r="D282" s="25"/>
      <x:c r="E282" s="25"/>
      <x:c r="F282" s="25"/>
      <x:c r="G282" s="25"/>
      <x:c r="H282" s="25"/>
      <x:c r="I282" s="25"/>
      <x:c r="J282" s="25"/>
      <x:c r="K282" s="25"/>
      <x:c r="L282" s="25"/>
      <x:c r="M282" s="25"/>
      <x:c r="N282" s="25"/>
      <x:c r="O282" s="25"/>
      <x:c r="P282" s="25"/>
      <x:c r="Q282" s="25"/>
      <x:c r="R282" s="25"/>
      <x:c r="S282" s="25"/>
      <x:c r="T282" s="25"/>
      <x:c r="U282" s="25"/>
      <x:c r="V282" s="25"/>
      <x:c r="W282" s="25"/>
      <x:c r="X282" s="25"/>
      <x:c r="Y282" s="25"/>
      <x:c r="Z282" s="25"/>
    </x:row>
    <x:row r="283">
      <x:c r="A283" s="25"/>
      <x:c r="B283" s="25"/>
      <x:c r="C283" s="25"/>
      <x:c r="D283" s="25"/>
      <x:c r="E283" s="25"/>
      <x:c r="F283" s="25"/>
      <x:c r="G283" s="25"/>
      <x:c r="H283" s="25"/>
      <x:c r="I283" s="25"/>
      <x:c r="J283" s="25"/>
      <x:c r="K283" s="25"/>
      <x:c r="L283" s="25"/>
      <x:c r="M283" s="25"/>
      <x:c r="N283" s="25"/>
      <x:c r="O283" s="25"/>
      <x:c r="P283" s="25"/>
      <x:c r="Q283" s="25"/>
      <x:c r="R283" s="25"/>
      <x:c r="S283" s="25"/>
      <x:c r="T283" s="25"/>
      <x:c r="U283" s="25"/>
      <x:c r="V283" s="25"/>
      <x:c r="W283" s="25"/>
      <x:c r="X283" s="25"/>
      <x:c r="Y283" s="25"/>
      <x:c r="Z283" s="25"/>
    </x:row>
    <x:row r="284">
      <x:c r="A284" s="25"/>
      <x:c r="B284" s="25"/>
      <x:c r="C284" s="25"/>
      <x:c r="D284" s="25"/>
      <x:c r="E284" s="25"/>
      <x:c r="F284" s="25"/>
      <x:c r="G284" s="25"/>
      <x:c r="H284" s="25"/>
      <x:c r="I284" s="25"/>
      <x:c r="J284" s="25"/>
      <x:c r="K284" s="25"/>
      <x:c r="L284" s="25"/>
      <x:c r="M284" s="25"/>
      <x:c r="N284" s="25"/>
      <x:c r="O284" s="25"/>
      <x:c r="P284" s="25"/>
      <x:c r="Q284" s="25"/>
      <x:c r="R284" s="25"/>
      <x:c r="S284" s="25"/>
      <x:c r="T284" s="25"/>
      <x:c r="U284" s="25"/>
      <x:c r="V284" s="25"/>
      <x:c r="W284" s="25"/>
      <x:c r="X284" s="25"/>
      <x:c r="Y284" s="25"/>
      <x:c r="Z284" s="25"/>
    </x:row>
    <x:row r="285">
      <x:c r="A285" s="25"/>
      <x:c r="B285" s="25"/>
      <x:c r="C285" s="25"/>
      <x:c r="D285" s="25"/>
      <x:c r="E285" s="25"/>
      <x:c r="F285" s="25"/>
      <x:c r="G285" s="25"/>
      <x:c r="H285" s="25"/>
      <x:c r="I285" s="25"/>
      <x:c r="J285" s="25"/>
      <x:c r="K285" s="25"/>
      <x:c r="L285" s="25"/>
      <x:c r="M285" s="25"/>
      <x:c r="N285" s="25"/>
      <x:c r="O285" s="25"/>
      <x:c r="P285" s="25"/>
      <x:c r="Q285" s="25"/>
      <x:c r="R285" s="25"/>
      <x:c r="S285" s="25"/>
      <x:c r="T285" s="25"/>
      <x:c r="U285" s="25"/>
      <x:c r="V285" s="25"/>
      <x:c r="W285" s="25"/>
      <x:c r="X285" s="25"/>
      <x:c r="Y285" s="25"/>
      <x:c r="Z285" s="25"/>
    </x:row>
    <x:row r="286">
      <x:c r="A286" s="25"/>
      <x:c r="B286" s="25"/>
      <x:c r="C286" s="25"/>
      <x:c r="D286" s="25"/>
      <x:c r="E286" s="25"/>
      <x:c r="F286" s="25"/>
      <x:c r="G286" s="25"/>
      <x:c r="H286" s="25"/>
      <x:c r="I286" s="25"/>
      <x:c r="J286" s="25"/>
      <x:c r="K286" s="25"/>
      <x:c r="L286" s="25"/>
      <x:c r="M286" s="25"/>
      <x:c r="N286" s="25"/>
      <x:c r="O286" s="25"/>
      <x:c r="P286" s="25"/>
      <x:c r="Q286" s="25"/>
      <x:c r="R286" s="25"/>
      <x:c r="S286" s="25"/>
      <x:c r="T286" s="25"/>
      <x:c r="U286" s="25"/>
      <x:c r="V286" s="25"/>
      <x:c r="W286" s="25"/>
      <x:c r="X286" s="25"/>
      <x:c r="Y286" s="25"/>
      <x:c r="Z286" s="25"/>
    </x:row>
    <x:row r="287">
      <x:c r="A287" s="25"/>
      <x:c r="B287" s="25"/>
      <x:c r="C287" s="25"/>
      <x:c r="D287" s="25"/>
      <x:c r="E287" s="25"/>
      <x:c r="F287" s="25"/>
      <x:c r="G287" s="25"/>
      <x:c r="H287" s="25"/>
      <x:c r="I287" s="25"/>
      <x:c r="J287" s="25"/>
      <x:c r="K287" s="25"/>
      <x:c r="L287" s="25"/>
      <x:c r="M287" s="25"/>
      <x:c r="N287" s="25"/>
      <x:c r="O287" s="25"/>
      <x:c r="P287" s="25"/>
      <x:c r="Q287" s="25"/>
      <x:c r="R287" s="25"/>
      <x:c r="S287" s="25"/>
      <x:c r="T287" s="25"/>
      <x:c r="U287" s="25"/>
      <x:c r="V287" s="25"/>
      <x:c r="W287" s="25"/>
      <x:c r="X287" s="25"/>
      <x:c r="Y287" s="25"/>
      <x:c r="Z287" s="25"/>
    </x:row>
    <x:row r="288">
      <x:c r="A288" s="25"/>
      <x:c r="B288" s="25"/>
      <x:c r="C288" s="25"/>
      <x:c r="D288" s="25"/>
      <x:c r="E288" s="25"/>
      <x:c r="F288" s="25"/>
      <x:c r="G288" s="25"/>
      <x:c r="H288" s="25"/>
      <x:c r="I288" s="25"/>
      <x:c r="J288" s="25"/>
      <x:c r="K288" s="25"/>
      <x:c r="L288" s="25"/>
      <x:c r="M288" s="25"/>
      <x:c r="N288" s="25"/>
      <x:c r="O288" s="25"/>
      <x:c r="P288" s="25"/>
      <x:c r="Q288" s="25"/>
      <x:c r="R288" s="25"/>
      <x:c r="S288" s="25"/>
      <x:c r="T288" s="25"/>
      <x:c r="U288" s="25"/>
      <x:c r="V288" s="25"/>
      <x:c r="W288" s="25"/>
      <x:c r="X288" s="25"/>
      <x:c r="Y288" s="25"/>
      <x:c r="Z288" s="25"/>
    </x:row>
    <x:row r="289">
      <x:c r="A289" s="25"/>
      <x:c r="B289" s="25"/>
      <x:c r="C289" s="25"/>
      <x:c r="D289" s="25"/>
      <x:c r="E289" s="25"/>
      <x:c r="F289" s="25"/>
      <x:c r="G289" s="25"/>
      <x:c r="H289" s="25"/>
      <x:c r="I289" s="25"/>
      <x:c r="J289" s="25"/>
      <x:c r="K289" s="25"/>
      <x:c r="L289" s="25"/>
      <x:c r="M289" s="25"/>
      <x:c r="N289" s="25"/>
      <x:c r="O289" s="25"/>
      <x:c r="P289" s="25"/>
      <x:c r="Q289" s="25"/>
      <x:c r="R289" s="25"/>
      <x:c r="S289" s="25"/>
      <x:c r="T289" s="25"/>
      <x:c r="U289" s="25"/>
      <x:c r="V289" s="25"/>
      <x:c r="W289" s="25"/>
      <x:c r="X289" s="25"/>
      <x:c r="Y289" s="25"/>
      <x:c r="Z289" s="25"/>
    </x:row>
    <x:row r="290">
      <x:c r="A290" s="25"/>
      <x:c r="B290" s="25"/>
      <x:c r="C290" s="25"/>
      <x:c r="D290" s="25"/>
      <x:c r="E290" s="25"/>
      <x:c r="F290" s="25"/>
      <x:c r="G290" s="25"/>
      <x:c r="H290" s="25"/>
      <x:c r="I290" s="25"/>
      <x:c r="J290" s="25"/>
      <x:c r="K290" s="25"/>
      <x:c r="L290" s="25"/>
      <x:c r="M290" s="25"/>
      <x:c r="N290" s="25"/>
      <x:c r="O290" s="25"/>
      <x:c r="P290" s="25"/>
      <x:c r="Q290" s="25"/>
      <x:c r="R290" s="25"/>
      <x:c r="S290" s="25"/>
      <x:c r="T290" s="25"/>
      <x:c r="U290" s="25"/>
      <x:c r="V290" s="25"/>
      <x:c r="W290" s="25"/>
      <x:c r="X290" s="25"/>
      <x:c r="Y290" s="25"/>
      <x:c r="Z290" s="25"/>
    </x:row>
    <x:row r="291">
      <x:c r="A291" s="25"/>
      <x:c r="B291" s="25"/>
      <x:c r="C291" s="25"/>
      <x:c r="D291" s="25"/>
      <x:c r="E291" s="25"/>
      <x:c r="F291" s="25"/>
      <x:c r="G291" s="25"/>
      <x:c r="H291" s="25"/>
      <x:c r="I291" s="25"/>
      <x:c r="J291" s="25"/>
      <x:c r="K291" s="25"/>
      <x:c r="L291" s="25"/>
      <x:c r="M291" s="25"/>
      <x:c r="N291" s="25"/>
      <x:c r="O291" s="25"/>
      <x:c r="P291" s="25"/>
      <x:c r="Q291" s="25"/>
      <x:c r="R291" s="25"/>
      <x:c r="S291" s="25"/>
      <x:c r="T291" s="25"/>
      <x:c r="U291" s="25"/>
      <x:c r="V291" s="25"/>
      <x:c r="W291" s="25"/>
      <x:c r="X291" s="25"/>
      <x:c r="Y291" s="25"/>
      <x:c r="Z291" s="25"/>
    </x:row>
    <x:row r="292">
      <x:c r="A292" s="25"/>
      <x:c r="B292" s="25"/>
      <x:c r="C292" s="25"/>
      <x:c r="D292" s="25"/>
      <x:c r="E292" s="25"/>
      <x:c r="F292" s="25"/>
      <x:c r="G292" s="25"/>
      <x:c r="H292" s="25"/>
      <x:c r="I292" s="25"/>
      <x:c r="J292" s="25"/>
      <x:c r="K292" s="25"/>
      <x:c r="L292" s="25"/>
      <x:c r="M292" s="25"/>
      <x:c r="N292" s="25"/>
      <x:c r="O292" s="25"/>
      <x:c r="P292" s="25"/>
      <x:c r="Q292" s="25"/>
      <x:c r="R292" s="25"/>
      <x:c r="S292" s="25"/>
      <x:c r="T292" s="25"/>
      <x:c r="U292" s="25"/>
      <x:c r="V292" s="25"/>
      <x:c r="W292" s="25"/>
      <x:c r="X292" s="25"/>
      <x:c r="Y292" s="25"/>
      <x:c r="Z292" s="25"/>
    </x:row>
    <x:row r="293">
      <x:c r="A293" s="25"/>
      <x:c r="B293" s="25"/>
      <x:c r="C293" s="25"/>
      <x:c r="D293" s="25"/>
      <x:c r="E293" s="25"/>
      <x:c r="F293" s="25"/>
      <x:c r="G293" s="25"/>
      <x:c r="H293" s="25"/>
      <x:c r="I293" s="25"/>
      <x:c r="J293" s="25"/>
      <x:c r="K293" s="25"/>
      <x:c r="L293" s="25"/>
      <x:c r="M293" s="25"/>
      <x:c r="N293" s="25"/>
      <x:c r="O293" s="25"/>
      <x:c r="P293" s="25"/>
      <x:c r="Q293" s="25"/>
      <x:c r="R293" s="25"/>
      <x:c r="S293" s="25"/>
      <x:c r="T293" s="25"/>
      <x:c r="U293" s="25"/>
      <x:c r="V293" s="25"/>
      <x:c r="W293" s="25"/>
      <x:c r="X293" s="25"/>
      <x:c r="Y293" s="25"/>
      <x:c r="Z293" s="25"/>
    </x:row>
    <x:row r="294">
      <x:c r="A294" s="25"/>
      <x:c r="B294" s="25"/>
      <x:c r="C294" s="25"/>
      <x:c r="D294" s="25"/>
      <x:c r="E294" s="25"/>
      <x:c r="F294" s="25"/>
      <x:c r="G294" s="25"/>
      <x:c r="H294" s="25"/>
      <x:c r="I294" s="25"/>
      <x:c r="J294" s="25"/>
      <x:c r="K294" s="25"/>
      <x:c r="L294" s="25"/>
      <x:c r="M294" s="25"/>
      <x:c r="N294" s="25"/>
      <x:c r="O294" s="25"/>
      <x:c r="P294" s="25"/>
      <x:c r="Q294" s="25"/>
      <x:c r="R294" s="25"/>
      <x:c r="S294" s="25"/>
      <x:c r="T294" s="25"/>
      <x:c r="U294" s="25"/>
      <x:c r="V294" s="25"/>
      <x:c r="W294" s="25"/>
      <x:c r="X294" s="25"/>
      <x:c r="Y294" s="25"/>
      <x:c r="Z294" s="25"/>
    </x:row>
    <x:row r="295">
      <x:c r="A295" s="25"/>
      <x:c r="B295" s="25"/>
      <x:c r="C295" s="25"/>
      <x:c r="D295" s="25"/>
      <x:c r="E295" s="25"/>
      <x:c r="F295" s="25"/>
      <x:c r="G295" s="25"/>
      <x:c r="H295" s="25"/>
      <x:c r="I295" s="25"/>
      <x:c r="J295" s="25"/>
      <x:c r="K295" s="25"/>
      <x:c r="L295" s="25"/>
      <x:c r="M295" s="25"/>
      <x:c r="N295" s="25"/>
      <x:c r="O295" s="25"/>
      <x:c r="P295" s="25"/>
      <x:c r="Q295" s="25"/>
      <x:c r="R295" s="25"/>
      <x:c r="S295" s="25"/>
      <x:c r="T295" s="25"/>
      <x:c r="U295" s="25"/>
      <x:c r="V295" s="25"/>
      <x:c r="W295" s="25"/>
      <x:c r="X295" s="25"/>
      <x:c r="Y295" s="25"/>
      <x:c r="Z295" s="25"/>
    </x:row>
    <x:row r="296">
      <x:c r="A296" s="25"/>
      <x:c r="B296" s="25"/>
      <x:c r="C296" s="25"/>
      <x:c r="D296" s="25"/>
      <x:c r="E296" s="25"/>
      <x:c r="F296" s="25"/>
      <x:c r="G296" s="25"/>
      <x:c r="H296" s="25"/>
      <x:c r="I296" s="25"/>
      <x:c r="J296" s="25"/>
      <x:c r="K296" s="25"/>
      <x:c r="L296" s="25"/>
      <x:c r="M296" s="25"/>
      <x:c r="N296" s="25"/>
      <x:c r="O296" s="25"/>
      <x:c r="P296" s="25"/>
      <x:c r="Q296" s="25"/>
      <x:c r="R296" s="25"/>
      <x:c r="S296" s="25"/>
      <x:c r="T296" s="25"/>
      <x:c r="U296" s="25"/>
      <x:c r="V296" s="25"/>
      <x:c r="W296" s="25"/>
      <x:c r="X296" s="25"/>
      <x:c r="Y296" s="25"/>
      <x:c r="Z296" s="25"/>
    </x:row>
    <x:row r="297">
      <x:c r="A297" s="25"/>
      <x:c r="B297" s="25"/>
      <x:c r="C297" s="25"/>
      <x:c r="D297" s="25"/>
      <x:c r="E297" s="25"/>
      <x:c r="F297" s="25"/>
      <x:c r="G297" s="25"/>
      <x:c r="H297" s="25"/>
      <x:c r="I297" s="25"/>
      <x:c r="J297" s="25"/>
      <x:c r="K297" s="25"/>
      <x:c r="L297" s="25"/>
      <x:c r="M297" s="25"/>
      <x:c r="N297" s="25"/>
      <x:c r="O297" s="25"/>
      <x:c r="P297" s="25"/>
      <x:c r="Q297" s="25"/>
      <x:c r="R297" s="25"/>
      <x:c r="S297" s="25"/>
      <x:c r="T297" s="25"/>
      <x:c r="U297" s="25"/>
      <x:c r="V297" s="25"/>
      <x:c r="W297" s="25"/>
      <x:c r="X297" s="25"/>
      <x:c r="Y297" s="25"/>
      <x:c r="Z297" s="25"/>
    </x:row>
    <x:row r="298">
      <x:c r="A298" s="25"/>
      <x:c r="B298" s="25"/>
      <x:c r="C298" s="25"/>
      <x:c r="D298" s="25"/>
      <x:c r="E298" s="25"/>
      <x:c r="F298" s="25"/>
      <x:c r="G298" s="25"/>
      <x:c r="H298" s="25"/>
      <x:c r="I298" s="25"/>
      <x:c r="J298" s="25"/>
      <x:c r="K298" s="25"/>
      <x:c r="L298" s="25"/>
      <x:c r="M298" s="25"/>
      <x:c r="N298" s="25"/>
      <x:c r="O298" s="25"/>
      <x:c r="P298" s="25"/>
      <x:c r="Q298" s="25"/>
      <x:c r="R298" s="25"/>
      <x:c r="S298" s="25"/>
      <x:c r="T298" s="25"/>
      <x:c r="U298" s="25"/>
      <x:c r="V298" s="25"/>
      <x:c r="W298" s="25"/>
      <x:c r="X298" s="25"/>
      <x:c r="Y298" s="25"/>
      <x:c r="Z298" s="25"/>
    </x:row>
    <x:row r="299">
      <x:c r="A299" s="25"/>
      <x:c r="B299" s="25"/>
      <x:c r="C299" s="25"/>
      <x:c r="D299" s="25"/>
      <x:c r="E299" s="25"/>
      <x:c r="F299" s="25"/>
      <x:c r="G299" s="25"/>
      <x:c r="H299" s="25"/>
      <x:c r="I299" s="25"/>
      <x:c r="J299" s="25"/>
      <x:c r="K299" s="25"/>
      <x:c r="L299" s="25"/>
      <x:c r="M299" s="25"/>
      <x:c r="N299" s="25"/>
      <x:c r="O299" s="25"/>
      <x:c r="P299" s="25"/>
      <x:c r="Q299" s="25"/>
      <x:c r="R299" s="25"/>
      <x:c r="S299" s="25"/>
      <x:c r="T299" s="25"/>
      <x:c r="U299" s="25"/>
      <x:c r="V299" s="25"/>
      <x:c r="W299" s="25"/>
      <x:c r="X299" s="25"/>
      <x:c r="Y299" s="25"/>
      <x:c r="Z299" s="25"/>
    </x:row>
    <x:row r="300">
      <x:c r="A300" s="25"/>
      <x:c r="B300" s="25"/>
      <x:c r="C300" s="25"/>
      <x:c r="D300" s="25"/>
      <x:c r="E300" s="25"/>
      <x:c r="F300" s="25"/>
      <x:c r="G300" s="25"/>
      <x:c r="H300" s="25"/>
      <x:c r="I300" s="25"/>
      <x:c r="J300" s="25"/>
      <x:c r="K300" s="25"/>
      <x:c r="L300" s="25"/>
      <x:c r="M300" s="25"/>
      <x:c r="N300" s="25"/>
      <x:c r="O300" s="25"/>
      <x:c r="P300" s="25"/>
      <x:c r="Q300" s="25"/>
      <x:c r="R300" s="25"/>
      <x:c r="S300" s="25"/>
      <x:c r="T300" s="25"/>
      <x:c r="U300" s="25"/>
      <x:c r="V300" s="25"/>
      <x:c r="W300" s="25"/>
      <x:c r="X300" s="25"/>
      <x:c r="Y300" s="25"/>
      <x:c r="Z300" s="25"/>
    </x:row>
    <x:row r="301">
      <x:c r="A301" s="25"/>
      <x:c r="B301" s="25"/>
      <x:c r="C301" s="25"/>
      <x:c r="D301" s="25"/>
      <x:c r="E301" s="25"/>
      <x:c r="F301" s="25"/>
      <x:c r="G301" s="25"/>
      <x:c r="H301" s="25"/>
      <x:c r="I301" s="25"/>
      <x:c r="J301" s="25"/>
      <x:c r="K301" s="25"/>
      <x:c r="L301" s="25"/>
      <x:c r="M301" s="25"/>
      <x:c r="N301" s="25"/>
      <x:c r="O301" s="25"/>
      <x:c r="P301" s="25"/>
      <x:c r="Q301" s="25"/>
      <x:c r="R301" s="25"/>
      <x:c r="S301" s="25"/>
      <x:c r="T301" s="25"/>
      <x:c r="U301" s="25"/>
      <x:c r="V301" s="25"/>
      <x:c r="W301" s="25"/>
      <x:c r="X301" s="25"/>
      <x:c r="Y301" s="25"/>
      <x:c r="Z301" s="25"/>
    </x:row>
    <x:row r="302">
      <x:c r="A302" s="25"/>
      <x:c r="B302" s="25"/>
      <x:c r="C302" s="25"/>
      <x:c r="D302" s="25"/>
      <x:c r="E302" s="25"/>
      <x:c r="F302" s="25"/>
      <x:c r="G302" s="25"/>
      <x:c r="H302" s="25"/>
      <x:c r="I302" s="25"/>
      <x:c r="J302" s="25"/>
      <x:c r="K302" s="25"/>
      <x:c r="L302" s="25"/>
      <x:c r="M302" s="25"/>
      <x:c r="N302" s="25"/>
      <x:c r="O302" s="25"/>
      <x:c r="P302" s="25"/>
      <x:c r="Q302" s="25"/>
      <x:c r="R302" s="25"/>
      <x:c r="S302" s="25"/>
      <x:c r="T302" s="25"/>
      <x:c r="U302" s="25"/>
      <x:c r="V302" s="25"/>
      <x:c r="W302" s="25"/>
      <x:c r="X302" s="25"/>
      <x:c r="Y302" s="25"/>
      <x:c r="Z302" s="25"/>
    </x:row>
    <x:row r="303">
      <x:c r="A303" s="25"/>
      <x:c r="B303" s="25"/>
      <x:c r="C303" s="25"/>
      <x:c r="D303" s="25"/>
      <x:c r="E303" s="25"/>
      <x:c r="F303" s="25"/>
      <x:c r="G303" s="25"/>
      <x:c r="H303" s="25"/>
      <x:c r="I303" s="25"/>
      <x:c r="J303" s="25"/>
      <x:c r="K303" s="25"/>
      <x:c r="L303" s="25"/>
      <x:c r="M303" s="25"/>
      <x:c r="N303" s="25"/>
      <x:c r="O303" s="25"/>
      <x:c r="P303" s="25"/>
      <x:c r="Q303" s="25"/>
      <x:c r="R303" s="25"/>
      <x:c r="S303" s="25"/>
      <x:c r="T303" s="25"/>
      <x:c r="U303" s="25"/>
      <x:c r="V303" s="25"/>
      <x:c r="W303" s="25"/>
      <x:c r="X303" s="25"/>
      <x:c r="Y303" s="25"/>
      <x:c r="Z303" s="25"/>
    </x:row>
    <x:row r="304">
      <x:c r="A304" s="25"/>
      <x:c r="B304" s="25"/>
      <x:c r="C304" s="25"/>
      <x:c r="D304" s="25"/>
      <x:c r="E304" s="25"/>
      <x:c r="F304" s="25"/>
      <x:c r="G304" s="25"/>
      <x:c r="H304" s="25"/>
      <x:c r="I304" s="25"/>
      <x:c r="J304" s="25"/>
      <x:c r="K304" s="25"/>
      <x:c r="L304" s="25"/>
      <x:c r="M304" s="25"/>
      <x:c r="N304" s="25"/>
      <x:c r="O304" s="25"/>
      <x:c r="P304" s="25"/>
      <x:c r="Q304" s="25"/>
      <x:c r="R304" s="25"/>
      <x:c r="S304" s="25"/>
      <x:c r="T304" s="25"/>
      <x:c r="U304" s="25"/>
      <x:c r="V304" s="25"/>
      <x:c r="W304" s="25"/>
      <x:c r="X304" s="25"/>
      <x:c r="Y304" s="25"/>
      <x:c r="Z304" s="25"/>
    </x:row>
    <x:row r="305">
      <x:c r="A305" s="25"/>
      <x:c r="B305" s="25"/>
      <x:c r="C305" s="25"/>
      <x:c r="D305" s="25"/>
      <x:c r="E305" s="25"/>
      <x:c r="F305" s="25"/>
      <x:c r="G305" s="25"/>
      <x:c r="H305" s="25"/>
      <x:c r="I305" s="25"/>
      <x:c r="J305" s="25"/>
      <x:c r="K305" s="25"/>
      <x:c r="L305" s="25"/>
      <x:c r="M305" s="25"/>
      <x:c r="N305" s="25"/>
      <x:c r="O305" s="25"/>
      <x:c r="P305" s="25"/>
      <x:c r="Q305" s="25"/>
      <x:c r="R305" s="25"/>
      <x:c r="S305" s="25"/>
      <x:c r="T305" s="25"/>
      <x:c r="U305" s="25"/>
      <x:c r="V305" s="25"/>
      <x:c r="W305" s="25"/>
      <x:c r="X305" s="25"/>
      <x:c r="Y305" s="25"/>
      <x:c r="Z305" s="25"/>
    </x:row>
    <x:row r="306">
      <x:c r="A306" s="25"/>
      <x:c r="B306" s="25"/>
      <x:c r="C306" s="25"/>
      <x:c r="D306" s="25"/>
      <x:c r="E306" s="25"/>
      <x:c r="F306" s="25"/>
      <x:c r="G306" s="25"/>
      <x:c r="H306" s="25"/>
      <x:c r="I306" s="25"/>
      <x:c r="J306" s="25"/>
      <x:c r="K306" s="25"/>
      <x:c r="L306" s="25"/>
      <x:c r="M306" s="25"/>
      <x:c r="N306" s="25"/>
      <x:c r="O306" s="25"/>
      <x:c r="P306" s="25"/>
      <x:c r="Q306" s="25"/>
      <x:c r="R306" s="25"/>
      <x:c r="S306" s="25"/>
      <x:c r="T306" s="25"/>
      <x:c r="U306" s="25"/>
      <x:c r="V306" s="25"/>
      <x:c r="W306" s="25"/>
      <x:c r="X306" s="25"/>
      <x:c r="Y306" s="25"/>
      <x:c r="Z306" s="25"/>
    </x:row>
    <x:row r="307">
      <x:c r="A307" s="25"/>
      <x:c r="B307" s="25"/>
      <x:c r="C307" s="25"/>
      <x:c r="D307" s="25"/>
      <x:c r="E307" s="25"/>
      <x:c r="F307" s="25"/>
      <x:c r="G307" s="25"/>
      <x:c r="H307" s="25"/>
      <x:c r="I307" s="25"/>
      <x:c r="J307" s="25"/>
      <x:c r="K307" s="25"/>
      <x:c r="L307" s="25"/>
      <x:c r="M307" s="25"/>
      <x:c r="N307" s="25"/>
      <x:c r="O307" s="25"/>
      <x:c r="P307" s="25"/>
      <x:c r="Q307" s="25"/>
      <x:c r="R307" s="25"/>
      <x:c r="S307" s="25"/>
      <x:c r="T307" s="25"/>
      <x:c r="U307" s="25"/>
      <x:c r="V307" s="25"/>
      <x:c r="W307" s="25"/>
      <x:c r="X307" s="25"/>
      <x:c r="Y307" s="25"/>
      <x:c r="Z307" s="25"/>
    </x:row>
    <x:row r="308">
      <x:c r="A308" s="25"/>
      <x:c r="B308" s="25"/>
      <x:c r="C308" s="25"/>
      <x:c r="D308" s="25"/>
      <x:c r="E308" s="25"/>
      <x:c r="F308" s="25"/>
      <x:c r="G308" s="25"/>
      <x:c r="H308" s="25"/>
      <x:c r="I308" s="25"/>
      <x:c r="J308" s="25"/>
      <x:c r="K308" s="25"/>
      <x:c r="L308" s="25"/>
      <x:c r="M308" s="25"/>
      <x:c r="N308" s="25"/>
      <x:c r="O308" s="25"/>
      <x:c r="P308" s="25"/>
      <x:c r="Q308" s="25"/>
      <x:c r="R308" s="25"/>
      <x:c r="S308" s="25"/>
      <x:c r="T308" s="25"/>
      <x:c r="U308" s="25"/>
      <x:c r="V308" s="25"/>
      <x:c r="W308" s="25"/>
      <x:c r="X308" s="25"/>
      <x:c r="Y308" s="25"/>
      <x:c r="Z308" s="25"/>
    </x:row>
    <x:row r="309">
      <x:c r="A309" s="25"/>
      <x:c r="B309" s="25"/>
      <x:c r="C309" s="25"/>
      <x:c r="D309" s="25"/>
      <x:c r="E309" s="25"/>
      <x:c r="F309" s="25"/>
      <x:c r="G309" s="25"/>
      <x:c r="H309" s="25"/>
      <x:c r="I309" s="25"/>
      <x:c r="J309" s="25"/>
      <x:c r="K309" s="25"/>
      <x:c r="L309" s="25"/>
      <x:c r="M309" s="25"/>
      <x:c r="N309" s="25"/>
      <x:c r="O309" s="25"/>
      <x:c r="P309" s="25"/>
      <x:c r="Q309" s="25"/>
      <x:c r="R309" s="25"/>
      <x:c r="S309" s="25"/>
      <x:c r="T309" s="25"/>
      <x:c r="U309" s="25"/>
      <x:c r="V309" s="25"/>
      <x:c r="W309" s="25"/>
      <x:c r="X309" s="25"/>
      <x:c r="Y309" s="25"/>
      <x:c r="Z309" s="25"/>
    </x:row>
    <x:row r="310">
      <x:c r="A310" s="25"/>
      <x:c r="B310" s="25"/>
      <x:c r="C310" s="25"/>
      <x:c r="D310" s="25"/>
      <x:c r="E310" s="25"/>
      <x:c r="F310" s="25"/>
      <x:c r="G310" s="25"/>
      <x:c r="H310" s="25"/>
      <x:c r="I310" s="25"/>
      <x:c r="J310" s="25"/>
      <x:c r="K310" s="25"/>
      <x:c r="L310" s="25"/>
      <x:c r="M310" s="25"/>
      <x:c r="N310" s="25"/>
      <x:c r="O310" s="25"/>
      <x:c r="P310" s="25"/>
      <x:c r="Q310" s="25"/>
      <x:c r="R310" s="25"/>
      <x:c r="S310" s="25"/>
      <x:c r="T310" s="25"/>
      <x:c r="U310" s="25"/>
      <x:c r="V310" s="25"/>
      <x:c r="W310" s="25"/>
      <x:c r="X310" s="25"/>
      <x:c r="Y310" s="25"/>
      <x:c r="Z310" s="25"/>
    </x:row>
    <x:row r="311">
      <x:c r="A311" s="25"/>
      <x:c r="B311" s="25"/>
      <x:c r="C311" s="25"/>
      <x:c r="D311" s="25"/>
      <x:c r="E311" s="25"/>
      <x:c r="F311" s="25"/>
      <x:c r="G311" s="25"/>
      <x:c r="H311" s="25"/>
      <x:c r="I311" s="25"/>
      <x:c r="J311" s="25"/>
      <x:c r="K311" s="25"/>
      <x:c r="L311" s="25"/>
      <x:c r="M311" s="25"/>
      <x:c r="N311" s="25"/>
      <x:c r="O311" s="25"/>
      <x:c r="P311" s="25"/>
      <x:c r="Q311" s="25"/>
      <x:c r="R311" s="25"/>
      <x:c r="S311" s="25"/>
      <x:c r="T311" s="25"/>
      <x:c r="U311" s="25"/>
      <x:c r="V311" s="25"/>
      <x:c r="W311" s="25"/>
      <x:c r="X311" s="25"/>
      <x:c r="Y311" s="25"/>
      <x:c r="Z311" s="25"/>
    </x:row>
    <x:row r="312">
      <x:c r="A312" s="25"/>
      <x:c r="B312" s="25"/>
      <x:c r="C312" s="25"/>
      <x:c r="D312" s="25"/>
      <x:c r="E312" s="25"/>
      <x:c r="F312" s="25"/>
      <x:c r="G312" s="25"/>
      <x:c r="H312" s="25"/>
      <x:c r="I312" s="25"/>
      <x:c r="J312" s="25"/>
      <x:c r="K312" s="25"/>
      <x:c r="L312" s="25"/>
      <x:c r="M312" s="25"/>
      <x:c r="N312" s="25"/>
      <x:c r="O312" s="25"/>
      <x:c r="P312" s="25"/>
      <x:c r="Q312" s="25"/>
      <x:c r="R312" s="25"/>
      <x:c r="S312" s="25"/>
      <x:c r="T312" s="25"/>
      <x:c r="U312" s="25"/>
      <x:c r="V312" s="25"/>
      <x:c r="W312" s="25"/>
      <x:c r="X312" s="25"/>
      <x:c r="Y312" s="25"/>
      <x:c r="Z312" s="25"/>
    </x:row>
    <x:row r="313">
      <x:c r="A313" s="25"/>
      <x:c r="B313" s="25"/>
      <x:c r="C313" s="25"/>
      <x:c r="D313" s="25"/>
      <x:c r="E313" s="25"/>
      <x:c r="F313" s="25"/>
      <x:c r="G313" s="25"/>
      <x:c r="H313" s="25"/>
      <x:c r="I313" s="25"/>
      <x:c r="J313" s="25"/>
      <x:c r="K313" s="25"/>
      <x:c r="L313" s="25"/>
      <x:c r="M313" s="25"/>
      <x:c r="N313" s="25"/>
      <x:c r="O313" s="25"/>
      <x:c r="P313" s="25"/>
      <x:c r="Q313" s="25"/>
      <x:c r="R313" s="25"/>
      <x:c r="S313" s="25"/>
      <x:c r="T313" s="25"/>
      <x:c r="U313" s="25"/>
      <x:c r="V313" s="25"/>
      <x:c r="W313" s="25"/>
      <x:c r="X313" s="25"/>
      <x:c r="Y313" s="25"/>
      <x:c r="Z313" s="25"/>
    </x:row>
    <x:row r="314">
      <x:c r="A314" s="25"/>
      <x:c r="B314" s="25"/>
      <x:c r="C314" s="25"/>
      <x:c r="D314" s="25"/>
      <x:c r="E314" s="25"/>
      <x:c r="F314" s="25"/>
      <x:c r="G314" s="25"/>
      <x:c r="H314" s="25"/>
      <x:c r="I314" s="25"/>
      <x:c r="J314" s="25"/>
      <x:c r="K314" s="25"/>
      <x:c r="L314" s="25"/>
      <x:c r="M314" s="25"/>
      <x:c r="N314" s="25"/>
      <x:c r="O314" s="25"/>
      <x:c r="P314" s="25"/>
      <x:c r="Q314" s="25"/>
      <x:c r="R314" s="25"/>
      <x:c r="S314" s="25"/>
      <x:c r="T314" s="25"/>
      <x:c r="U314" s="25"/>
      <x:c r="V314" s="25"/>
      <x:c r="W314" s="25"/>
      <x:c r="X314" s="25"/>
      <x:c r="Y314" s="25"/>
      <x:c r="Z314" s="25"/>
    </x:row>
    <x:row r="315">
      <x:c r="A315" s="25"/>
      <x:c r="B315" s="25"/>
      <x:c r="C315" s="25"/>
      <x:c r="D315" s="25"/>
      <x:c r="E315" s="25"/>
      <x:c r="F315" s="25"/>
      <x:c r="G315" s="25"/>
      <x:c r="H315" s="25"/>
      <x:c r="I315" s="25"/>
      <x:c r="J315" s="25"/>
      <x:c r="K315" s="25"/>
      <x:c r="L315" s="25"/>
      <x:c r="M315" s="25"/>
      <x:c r="N315" s="25"/>
      <x:c r="O315" s="25"/>
      <x:c r="P315" s="25"/>
      <x:c r="Q315" s="25"/>
      <x:c r="R315" s="25"/>
      <x:c r="S315" s="25"/>
      <x:c r="T315" s="25"/>
      <x:c r="U315" s="25"/>
      <x:c r="V315" s="25"/>
      <x:c r="W315" s="25"/>
      <x:c r="X315" s="25"/>
      <x:c r="Y315" s="25"/>
      <x:c r="Z315" s="25"/>
    </x:row>
    <x:row r="316">
      <x:c r="A316" s="25"/>
      <x:c r="B316" s="25"/>
      <x:c r="C316" s="25"/>
      <x:c r="D316" s="25"/>
      <x:c r="E316" s="25"/>
      <x:c r="F316" s="25"/>
      <x:c r="G316" s="25"/>
      <x:c r="H316" s="25"/>
      <x:c r="I316" s="25"/>
      <x:c r="J316" s="25"/>
      <x:c r="K316" s="25"/>
      <x:c r="L316" s="25"/>
      <x:c r="M316" s="25"/>
      <x:c r="N316" s="25"/>
      <x:c r="O316" s="25"/>
      <x:c r="P316" s="25"/>
      <x:c r="Q316" s="25"/>
      <x:c r="R316" s="25"/>
      <x:c r="S316" s="25"/>
      <x:c r="T316" s="25"/>
      <x:c r="U316" s="25"/>
      <x:c r="V316" s="25"/>
      <x:c r="W316" s="25"/>
      <x:c r="X316" s="25"/>
      <x:c r="Y316" s="25"/>
      <x:c r="Z316" s="25"/>
    </x:row>
    <x:row r="317">
      <x:c r="A317" s="25"/>
      <x:c r="B317" s="25"/>
      <x:c r="C317" s="25"/>
      <x:c r="D317" s="25"/>
      <x:c r="E317" s="25"/>
      <x:c r="F317" s="25"/>
      <x:c r="G317" s="25"/>
      <x:c r="H317" s="25"/>
      <x:c r="I317" s="25"/>
      <x:c r="J317" s="25"/>
      <x:c r="K317" s="25"/>
      <x:c r="L317" s="25"/>
      <x:c r="M317" s="25"/>
      <x:c r="N317" s="25"/>
      <x:c r="O317" s="25"/>
      <x:c r="P317" s="25"/>
      <x:c r="Q317" s="25"/>
      <x:c r="R317" s="25"/>
      <x:c r="S317" s="25"/>
      <x:c r="T317" s="25"/>
      <x:c r="U317" s="25"/>
      <x:c r="V317" s="25"/>
      <x:c r="W317" s="25"/>
      <x:c r="X317" s="25"/>
      <x:c r="Y317" s="25"/>
      <x:c r="Z317" s="25"/>
    </x:row>
    <x:row r="318">
      <x:c r="A318" s="25"/>
      <x:c r="B318" s="25"/>
      <x:c r="C318" s="25"/>
      <x:c r="D318" s="25"/>
      <x:c r="E318" s="25"/>
      <x:c r="F318" s="25"/>
      <x:c r="G318" s="25"/>
      <x:c r="H318" s="25"/>
      <x:c r="I318" s="25"/>
      <x:c r="J318" s="25"/>
      <x:c r="K318" s="25"/>
      <x:c r="L318" s="25"/>
      <x:c r="M318" s="25"/>
      <x:c r="N318" s="25"/>
      <x:c r="O318" s="25"/>
      <x:c r="P318" s="25"/>
      <x:c r="Q318" s="25"/>
      <x:c r="R318" s="25"/>
      <x:c r="S318" s="25"/>
      <x:c r="T318" s="25"/>
      <x:c r="U318" s="25"/>
      <x:c r="V318" s="25"/>
      <x:c r="W318" s="25"/>
      <x:c r="X318" s="25"/>
      <x:c r="Y318" s="25"/>
      <x:c r="Z318" s="25"/>
    </x:row>
    <x:row r="319">
      <x:c r="A319" s="25"/>
      <x:c r="B319" s="25"/>
      <x:c r="C319" s="25"/>
      <x:c r="D319" s="25"/>
      <x:c r="E319" s="25"/>
      <x:c r="F319" s="25"/>
      <x:c r="G319" s="25"/>
      <x:c r="H319" s="25"/>
      <x:c r="I319" s="25"/>
      <x:c r="J319" s="25"/>
      <x:c r="K319" s="25"/>
      <x:c r="L319" s="25"/>
      <x:c r="M319" s="25"/>
      <x:c r="N319" s="25"/>
      <x:c r="O319" s="25"/>
      <x:c r="P319" s="25"/>
      <x:c r="Q319" s="25"/>
      <x:c r="R319" s="25"/>
      <x:c r="S319" s="25"/>
      <x:c r="T319" s="25"/>
      <x:c r="U319" s="25"/>
      <x:c r="V319" s="25"/>
      <x:c r="W319" s="25"/>
      <x:c r="X319" s="25"/>
      <x:c r="Y319" s="25"/>
      <x:c r="Z319" s="25"/>
    </x:row>
    <x:row r="320">
      <x:c r="A320" s="25"/>
      <x:c r="B320" s="25"/>
      <x:c r="C320" s="25"/>
      <x:c r="D320" s="25"/>
      <x:c r="E320" s="25"/>
      <x:c r="F320" s="25"/>
      <x:c r="G320" s="25"/>
      <x:c r="H320" s="25"/>
      <x:c r="I320" s="25"/>
      <x:c r="J320" s="25"/>
      <x:c r="K320" s="25"/>
      <x:c r="L320" s="25"/>
      <x:c r="M320" s="25"/>
      <x:c r="N320" s="25"/>
      <x:c r="O320" s="25"/>
      <x:c r="P320" s="25"/>
      <x:c r="Q320" s="25"/>
      <x:c r="R320" s="25"/>
      <x:c r="S320" s="25"/>
      <x:c r="T320" s="25"/>
      <x:c r="U320" s="25"/>
      <x:c r="V320" s="25"/>
      <x:c r="W320" s="25"/>
      <x:c r="X320" s="25"/>
      <x:c r="Y320" s="25"/>
      <x:c r="Z320" s="25"/>
    </x:row>
    <x:row r="321">
      <x:c r="A321" s="25"/>
      <x:c r="B321" s="25"/>
      <x:c r="C321" s="25"/>
      <x:c r="D321" s="25"/>
      <x:c r="E321" s="25"/>
      <x:c r="F321" s="25"/>
      <x:c r="G321" s="25"/>
      <x:c r="H321" s="25"/>
      <x:c r="I321" s="25"/>
      <x:c r="J321" s="25"/>
      <x:c r="K321" s="25"/>
      <x:c r="L321" s="25"/>
      <x:c r="M321" s="25"/>
      <x:c r="N321" s="25"/>
      <x:c r="O321" s="25"/>
      <x:c r="P321" s="25"/>
      <x:c r="Q321" s="25"/>
      <x:c r="R321" s="25"/>
      <x:c r="S321" s="25"/>
      <x:c r="T321" s="25"/>
      <x:c r="U321" s="25"/>
      <x:c r="V321" s="25"/>
      <x:c r="W321" s="25"/>
      <x:c r="X321" s="25"/>
      <x:c r="Y321" s="25"/>
      <x:c r="Z321" s="25"/>
    </x:row>
    <x:row r="322">
      <x:c r="A322" s="25"/>
      <x:c r="B322" s="25"/>
      <x:c r="C322" s="25"/>
      <x:c r="D322" s="25"/>
      <x:c r="E322" s="25"/>
      <x:c r="F322" s="25"/>
      <x:c r="G322" s="25"/>
      <x:c r="H322" s="25"/>
      <x:c r="I322" s="25"/>
      <x:c r="J322" s="25"/>
      <x:c r="K322" s="25"/>
      <x:c r="L322" s="25"/>
      <x:c r="M322" s="25"/>
      <x:c r="N322" s="25"/>
      <x:c r="O322" s="25"/>
      <x:c r="P322" s="25"/>
      <x:c r="Q322" s="25"/>
      <x:c r="R322" s="25"/>
      <x:c r="S322" s="25"/>
      <x:c r="T322" s="25"/>
      <x:c r="U322" s="25"/>
      <x:c r="V322" s="25"/>
      <x:c r="W322" s="25"/>
      <x:c r="X322" s="25"/>
      <x:c r="Y322" s="25"/>
      <x:c r="Z322" s="25"/>
    </x:row>
    <x:row r="323">
      <x:c r="A323" s="25"/>
      <x:c r="B323" s="25"/>
      <x:c r="C323" s="25"/>
      <x:c r="D323" s="25"/>
      <x:c r="E323" s="25"/>
      <x:c r="F323" s="25"/>
      <x:c r="G323" s="25"/>
      <x:c r="H323" s="25"/>
      <x:c r="I323" s="25"/>
      <x:c r="J323" s="25"/>
      <x:c r="K323" s="25"/>
      <x:c r="L323" s="25"/>
      <x:c r="M323" s="25"/>
      <x:c r="N323" s="25"/>
      <x:c r="O323" s="25"/>
      <x:c r="P323" s="25"/>
      <x:c r="Q323" s="25"/>
      <x:c r="R323" s="25"/>
      <x:c r="S323" s="25"/>
      <x:c r="T323" s="25"/>
      <x:c r="U323" s="25"/>
      <x:c r="V323" s="25"/>
      <x:c r="W323" s="25"/>
      <x:c r="X323" s="25"/>
      <x:c r="Y323" s="25"/>
      <x:c r="Z323" s="25"/>
    </x:row>
    <x:row r="324">
      <x:c r="A324" s="25"/>
      <x:c r="B324" s="25"/>
      <x:c r="C324" s="25"/>
      <x:c r="D324" s="25"/>
      <x:c r="E324" s="25"/>
      <x:c r="F324" s="25"/>
      <x:c r="G324" s="25"/>
      <x:c r="H324" s="25"/>
      <x:c r="I324" s="25"/>
      <x:c r="J324" s="25"/>
      <x:c r="K324" s="25"/>
      <x:c r="L324" s="25"/>
      <x:c r="M324" s="25"/>
      <x:c r="N324" s="25"/>
      <x:c r="O324" s="25"/>
      <x:c r="P324" s="25"/>
      <x:c r="Q324" s="25"/>
      <x:c r="R324" s="25"/>
      <x:c r="S324" s="25"/>
      <x:c r="T324" s="25"/>
      <x:c r="U324" s="25"/>
      <x:c r="V324" s="25"/>
      <x:c r="W324" s="25"/>
      <x:c r="X324" s="25"/>
      <x:c r="Y324" s="25"/>
      <x:c r="Z324" s="25"/>
    </x:row>
    <x:row r="325">
      <x:c r="A325" s="25"/>
      <x:c r="B325" s="25"/>
      <x:c r="C325" s="25"/>
      <x:c r="D325" s="25"/>
      <x:c r="E325" s="25"/>
      <x:c r="F325" s="25"/>
      <x:c r="G325" s="25"/>
      <x:c r="H325" s="25"/>
      <x:c r="I325" s="25"/>
      <x:c r="J325" s="25"/>
      <x:c r="K325" s="25"/>
      <x:c r="L325" s="25"/>
      <x:c r="M325" s="25"/>
      <x:c r="N325" s="25"/>
      <x:c r="O325" s="25"/>
      <x:c r="P325" s="25"/>
      <x:c r="Q325" s="25"/>
      <x:c r="R325" s="25"/>
      <x:c r="S325" s="25"/>
      <x:c r="T325" s="25"/>
      <x:c r="U325" s="25"/>
      <x:c r="V325" s="25"/>
      <x:c r="W325" s="25"/>
      <x:c r="X325" s="25"/>
      <x:c r="Y325" s="25"/>
      <x:c r="Z325" s="25"/>
    </x:row>
    <x:row r="326">
      <x:c r="A326" s="25"/>
      <x:c r="B326" s="25"/>
      <x:c r="C326" s="25"/>
      <x:c r="D326" s="25"/>
      <x:c r="E326" s="25"/>
      <x:c r="F326" s="25"/>
      <x:c r="G326" s="25"/>
      <x:c r="H326" s="25"/>
      <x:c r="I326" s="25"/>
      <x:c r="J326" s="25"/>
      <x:c r="K326" s="25"/>
      <x:c r="L326" s="25"/>
      <x:c r="M326" s="25"/>
      <x:c r="N326" s="25"/>
      <x:c r="O326" s="25"/>
      <x:c r="P326" s="25"/>
      <x:c r="Q326" s="25"/>
      <x:c r="R326" s="25"/>
      <x:c r="S326" s="25"/>
      <x:c r="T326" s="25"/>
      <x:c r="U326" s="25"/>
      <x:c r="V326" s="25"/>
      <x:c r="W326" s="25"/>
      <x:c r="X326" s="25"/>
      <x:c r="Y326" s="25"/>
      <x:c r="Z326" s="25"/>
    </x:row>
    <x:row r="327">
      <x:c r="A327" s="25"/>
      <x:c r="B327" s="25"/>
      <x:c r="C327" s="25"/>
      <x:c r="D327" s="25"/>
      <x:c r="E327" s="25"/>
      <x:c r="F327" s="25"/>
      <x:c r="G327" s="25"/>
      <x:c r="H327" s="25"/>
      <x:c r="I327" s="25"/>
      <x:c r="J327" s="25"/>
      <x:c r="K327" s="25"/>
      <x:c r="L327" s="25"/>
      <x:c r="M327" s="25"/>
      <x:c r="N327" s="25"/>
      <x:c r="O327" s="25"/>
      <x:c r="P327" s="25"/>
      <x:c r="Q327" s="25"/>
      <x:c r="R327" s="25"/>
      <x:c r="S327" s="25"/>
      <x:c r="T327" s="25"/>
      <x:c r="U327" s="25"/>
      <x:c r="V327" s="25"/>
      <x:c r="W327" s="25"/>
      <x:c r="X327" s="25"/>
      <x:c r="Y327" s="25"/>
      <x:c r="Z327" s="25"/>
    </x:row>
    <x:row r="328">
      <x:c r="A328" s="25"/>
      <x:c r="B328" s="25"/>
      <x:c r="C328" s="25"/>
      <x:c r="D328" s="25"/>
      <x:c r="E328" s="25"/>
      <x:c r="F328" s="25"/>
      <x:c r="G328" s="25"/>
      <x:c r="H328" s="25"/>
      <x:c r="I328" s="25"/>
      <x:c r="J328" s="25"/>
      <x:c r="K328" s="25"/>
      <x:c r="L328" s="25"/>
      <x:c r="M328" s="25"/>
      <x:c r="N328" s="25"/>
      <x:c r="O328" s="25"/>
      <x:c r="P328" s="25"/>
      <x:c r="Q328" s="25"/>
      <x:c r="R328" s="25"/>
      <x:c r="S328" s="25"/>
      <x:c r="T328" s="25"/>
      <x:c r="U328" s="25"/>
      <x:c r="V328" s="25"/>
      <x:c r="W328" s="25"/>
      <x:c r="X328" s="25"/>
      <x:c r="Y328" s="25"/>
      <x:c r="Z328" s="25"/>
    </x:row>
    <x:row r="329">
      <x:c r="A329" s="25"/>
      <x:c r="B329" s="25"/>
      <x:c r="C329" s="25"/>
      <x:c r="D329" s="25"/>
      <x:c r="E329" s="25"/>
      <x:c r="F329" s="25"/>
      <x:c r="G329" s="25"/>
      <x:c r="H329" s="25"/>
      <x:c r="I329" s="25"/>
      <x:c r="J329" s="25"/>
      <x:c r="K329" s="25"/>
      <x:c r="L329" s="25"/>
      <x:c r="M329" s="25"/>
      <x:c r="N329" s="25"/>
      <x:c r="O329" s="25"/>
      <x:c r="P329" s="25"/>
      <x:c r="Q329" s="25"/>
      <x:c r="R329" s="25"/>
      <x:c r="S329" s="25"/>
      <x:c r="T329" s="25"/>
      <x:c r="U329" s="25"/>
      <x:c r="V329" s="25"/>
      <x:c r="W329" s="25"/>
      <x:c r="X329" s="25"/>
      <x:c r="Y329" s="25"/>
      <x:c r="Z329" s="25"/>
    </x:row>
    <x:row r="330">
      <x:c r="A330" s="25"/>
      <x:c r="B330" s="25"/>
      <x:c r="C330" s="25"/>
      <x:c r="D330" s="25"/>
      <x:c r="E330" s="25"/>
      <x:c r="F330" s="25"/>
      <x:c r="G330" s="25"/>
      <x:c r="H330" s="25"/>
      <x:c r="I330" s="25"/>
      <x:c r="J330" s="25"/>
      <x:c r="K330" s="25"/>
      <x:c r="L330" s="25"/>
      <x:c r="M330" s="25"/>
      <x:c r="N330" s="25"/>
      <x:c r="O330" s="25"/>
      <x:c r="P330" s="25"/>
      <x:c r="Q330" s="25"/>
      <x:c r="R330" s="25"/>
      <x:c r="S330" s="25"/>
      <x:c r="T330" s="25"/>
      <x:c r="U330" s="25"/>
      <x:c r="V330" s="25"/>
      <x:c r="W330" s="25"/>
      <x:c r="X330" s="25"/>
      <x:c r="Y330" s="25"/>
      <x:c r="Z330" s="25"/>
    </x:row>
    <x:row r="331">
      <x:c r="A331" s="25"/>
      <x:c r="B331" s="25"/>
      <x:c r="C331" s="25"/>
      <x:c r="D331" s="25"/>
      <x:c r="E331" s="25"/>
      <x:c r="F331" s="25"/>
      <x:c r="G331" s="25"/>
      <x:c r="H331" s="25"/>
      <x:c r="I331" s="25"/>
      <x:c r="J331" s="25"/>
      <x:c r="K331" s="25"/>
      <x:c r="L331" s="25"/>
      <x:c r="M331" s="25"/>
      <x:c r="N331" s="25"/>
      <x:c r="O331" s="25"/>
      <x:c r="P331" s="25"/>
      <x:c r="Q331" s="25"/>
      <x:c r="R331" s="25"/>
      <x:c r="S331" s="25"/>
      <x:c r="T331" s="25"/>
      <x:c r="U331" s="25"/>
      <x:c r="V331" s="25"/>
      <x:c r="W331" s="25"/>
      <x:c r="X331" s="25"/>
      <x:c r="Y331" s="25"/>
      <x:c r="Z331" s="25"/>
    </x:row>
    <x:row r="332">
      <x:c r="A332" s="25"/>
      <x:c r="B332" s="25"/>
      <x:c r="C332" s="25"/>
      <x:c r="D332" s="25"/>
      <x:c r="E332" s="25"/>
      <x:c r="F332" s="25"/>
      <x:c r="G332" s="25"/>
      <x:c r="H332" s="25"/>
      <x:c r="I332" s="25"/>
      <x:c r="J332" s="25"/>
      <x:c r="K332" s="25"/>
      <x:c r="L332" s="25"/>
      <x:c r="M332" s="25"/>
      <x:c r="N332" s="25"/>
      <x:c r="O332" s="25"/>
      <x:c r="P332" s="25"/>
      <x:c r="Q332" s="25"/>
      <x:c r="R332" s="25"/>
      <x:c r="S332" s="25"/>
      <x:c r="T332" s="25"/>
      <x:c r="U332" s="25"/>
      <x:c r="V332" s="25"/>
      <x:c r="W332" s="25"/>
      <x:c r="X332" s="25"/>
      <x:c r="Y332" s="25"/>
      <x:c r="Z332" s="25"/>
    </x:row>
    <x:row r="333">
      <x:c r="A333" s="25"/>
      <x:c r="B333" s="25"/>
      <x:c r="C333" s="25"/>
      <x:c r="D333" s="25"/>
      <x:c r="E333" s="25"/>
      <x:c r="F333" s="25"/>
      <x:c r="G333" s="25"/>
      <x:c r="H333" s="25"/>
      <x:c r="I333" s="25"/>
      <x:c r="J333" s="25"/>
      <x:c r="K333" s="25"/>
      <x:c r="L333" s="25"/>
      <x:c r="M333" s="25"/>
      <x:c r="N333" s="25"/>
      <x:c r="O333" s="25"/>
      <x:c r="P333" s="25"/>
      <x:c r="Q333" s="25"/>
      <x:c r="R333" s="25"/>
      <x:c r="S333" s="25"/>
      <x:c r="T333" s="25"/>
      <x:c r="U333" s="25"/>
      <x:c r="V333" s="25"/>
      <x:c r="W333" s="25"/>
      <x:c r="X333" s="25"/>
      <x:c r="Y333" s="25"/>
      <x:c r="Z333" s="25"/>
    </x:row>
    <x:row r="334">
      <x:c r="A334" s="25"/>
      <x:c r="B334" s="25"/>
      <x:c r="C334" s="25"/>
      <x:c r="D334" s="25"/>
      <x:c r="E334" s="25"/>
      <x:c r="F334" s="25"/>
      <x:c r="G334" s="25"/>
      <x:c r="H334" s="25"/>
      <x:c r="I334" s="25"/>
      <x:c r="J334" s="25"/>
      <x:c r="K334" s="25"/>
      <x:c r="L334" s="25"/>
      <x:c r="M334" s="25"/>
      <x:c r="N334" s="25"/>
      <x:c r="O334" s="25"/>
      <x:c r="P334" s="25"/>
      <x:c r="Q334" s="25"/>
      <x:c r="R334" s="25"/>
      <x:c r="S334" s="25"/>
      <x:c r="T334" s="25"/>
      <x:c r="U334" s="25"/>
      <x:c r="V334" s="25"/>
      <x:c r="W334" s="25"/>
      <x:c r="X334" s="25"/>
      <x:c r="Y334" s="25"/>
      <x:c r="Z334" s="25"/>
    </x:row>
    <x:row r="335">
      <x:c r="A335" s="25"/>
      <x:c r="B335" s="25"/>
      <x:c r="C335" s="25"/>
      <x:c r="D335" s="25"/>
      <x:c r="E335" s="25"/>
      <x:c r="F335" s="25"/>
      <x:c r="G335" s="25"/>
      <x:c r="H335" s="25"/>
      <x:c r="I335" s="25"/>
      <x:c r="J335" s="25"/>
      <x:c r="K335" s="25"/>
      <x:c r="L335" s="25"/>
      <x:c r="M335" s="25"/>
      <x:c r="N335" s="25"/>
      <x:c r="O335" s="25"/>
      <x:c r="P335" s="25"/>
      <x:c r="Q335" s="25"/>
      <x:c r="R335" s="25"/>
      <x:c r="S335" s="25"/>
      <x:c r="T335" s="25"/>
      <x:c r="U335" s="25"/>
      <x:c r="V335" s="25"/>
      <x:c r="W335" s="25"/>
      <x:c r="X335" s="25"/>
      <x:c r="Y335" s="25"/>
      <x:c r="Z335" s="25"/>
    </x:row>
    <x:row r="336">
      <x:c r="A336" s="25"/>
      <x:c r="B336" s="25"/>
      <x:c r="C336" s="25"/>
      <x:c r="D336" s="25"/>
      <x:c r="E336" s="25"/>
      <x:c r="F336" s="25"/>
      <x:c r="G336" s="25"/>
      <x:c r="H336" s="25"/>
      <x:c r="I336" s="25"/>
      <x:c r="J336" s="25"/>
      <x:c r="K336" s="25"/>
      <x:c r="L336" s="25"/>
      <x:c r="M336" s="25"/>
      <x:c r="N336" s="25"/>
      <x:c r="O336" s="25"/>
      <x:c r="P336" s="25"/>
      <x:c r="Q336" s="25"/>
      <x:c r="R336" s="25"/>
      <x:c r="S336" s="25"/>
      <x:c r="T336" s="25"/>
      <x:c r="U336" s="25"/>
      <x:c r="V336" s="25"/>
      <x:c r="W336" s="25"/>
      <x:c r="X336" s="25"/>
      <x:c r="Y336" s="25"/>
      <x:c r="Z336" s="25"/>
    </x:row>
    <x:row r="337">
      <x:c r="A337" s="25"/>
      <x:c r="B337" s="25"/>
      <x:c r="C337" s="25"/>
      <x:c r="D337" s="25"/>
      <x:c r="E337" s="25"/>
      <x:c r="F337" s="25"/>
      <x:c r="G337" s="25"/>
      <x:c r="H337" s="25"/>
      <x:c r="I337" s="25"/>
      <x:c r="J337" s="25"/>
      <x:c r="K337" s="25"/>
      <x:c r="L337" s="25"/>
      <x:c r="M337" s="25"/>
      <x:c r="N337" s="25"/>
      <x:c r="O337" s="25"/>
      <x:c r="P337" s="25"/>
      <x:c r="Q337" s="25"/>
      <x:c r="R337" s="25"/>
      <x:c r="S337" s="25"/>
      <x:c r="T337" s="25"/>
      <x:c r="U337" s="25"/>
      <x:c r="V337" s="25"/>
      <x:c r="W337" s="25"/>
      <x:c r="X337" s="25"/>
      <x:c r="Y337" s="25"/>
      <x:c r="Z337" s="25"/>
    </x:row>
    <x:row r="338">
      <x:c r="A338" s="25"/>
      <x:c r="B338" s="25"/>
      <x:c r="C338" s="25"/>
      <x:c r="D338" s="25"/>
      <x:c r="E338" s="25"/>
      <x:c r="F338" s="25"/>
      <x:c r="G338" s="25"/>
      <x:c r="H338" s="25"/>
      <x:c r="I338" s="25"/>
      <x:c r="J338" s="25"/>
      <x:c r="K338" s="25"/>
      <x:c r="L338" s="25"/>
      <x:c r="M338" s="25"/>
      <x:c r="N338" s="25"/>
      <x:c r="O338" s="25"/>
      <x:c r="P338" s="25"/>
      <x:c r="Q338" s="25"/>
      <x:c r="R338" s="25"/>
      <x:c r="S338" s="25"/>
      <x:c r="T338" s="25"/>
      <x:c r="U338" s="25"/>
      <x:c r="V338" s="25"/>
      <x:c r="W338" s="25"/>
      <x:c r="X338" s="25"/>
      <x:c r="Y338" s="25"/>
      <x:c r="Z338" s="25"/>
    </x:row>
    <x:row r="339">
      <x:c r="A339" s="25"/>
      <x:c r="B339" s="25"/>
      <x:c r="C339" s="25"/>
      <x:c r="D339" s="25"/>
      <x:c r="E339" s="25"/>
      <x:c r="F339" s="25"/>
      <x:c r="G339" s="25"/>
      <x:c r="H339" s="25"/>
      <x:c r="I339" s="25"/>
      <x:c r="J339" s="25"/>
      <x:c r="K339" s="25"/>
      <x:c r="L339" s="25"/>
      <x:c r="M339" s="25"/>
      <x:c r="N339" s="25"/>
      <x:c r="O339" s="25"/>
      <x:c r="P339" s="25"/>
      <x:c r="Q339" s="25"/>
      <x:c r="R339" s="25"/>
      <x:c r="S339" s="25"/>
      <x:c r="T339" s="25"/>
      <x:c r="U339" s="25"/>
      <x:c r="V339" s="25"/>
      <x:c r="W339" s="25"/>
      <x:c r="X339" s="25"/>
      <x:c r="Y339" s="25"/>
      <x:c r="Z339" s="25"/>
    </x:row>
    <x:row r="340">
      <x:c r="A340" s="25"/>
      <x:c r="B340" s="25"/>
      <x:c r="C340" s="25"/>
      <x:c r="D340" s="25"/>
      <x:c r="E340" s="25"/>
      <x:c r="F340" s="25"/>
      <x:c r="G340" s="25"/>
      <x:c r="H340" s="25"/>
      <x:c r="I340" s="25"/>
      <x:c r="J340" s="25"/>
      <x:c r="K340" s="25"/>
      <x:c r="L340" s="25"/>
      <x:c r="M340" s="25"/>
      <x:c r="N340" s="25"/>
      <x:c r="O340" s="25"/>
      <x:c r="P340" s="25"/>
      <x:c r="Q340" s="25"/>
      <x:c r="R340" s="25"/>
      <x:c r="S340" s="25"/>
      <x:c r="T340" s="25"/>
      <x:c r="U340" s="25"/>
      <x:c r="V340" s="25"/>
      <x:c r="W340" s="25"/>
      <x:c r="X340" s="25"/>
      <x:c r="Y340" s="25"/>
      <x:c r="Z340" s="25"/>
    </x:row>
    <x:row r="341">
      <x:c r="A341" s="25"/>
      <x:c r="B341" s="25"/>
      <x:c r="C341" s="25"/>
      <x:c r="D341" s="25"/>
      <x:c r="E341" s="25"/>
      <x:c r="F341" s="25"/>
      <x:c r="G341" s="25"/>
      <x:c r="H341" s="25"/>
      <x:c r="I341" s="25"/>
      <x:c r="J341" s="25"/>
      <x:c r="K341" s="25"/>
      <x:c r="L341" s="25"/>
      <x:c r="M341" s="25"/>
      <x:c r="N341" s="25"/>
      <x:c r="O341" s="25"/>
      <x:c r="P341" s="25"/>
      <x:c r="Q341" s="25"/>
      <x:c r="R341" s="25"/>
      <x:c r="S341" s="25"/>
      <x:c r="T341" s="25"/>
      <x:c r="U341" s="25"/>
      <x:c r="V341" s="25"/>
      <x:c r="W341" s="25"/>
      <x:c r="X341" s="25"/>
      <x:c r="Y341" s="25"/>
      <x:c r="Z341" s="25"/>
    </x:row>
    <x:row r="342">
      <x:c r="A342" s="25"/>
      <x:c r="B342" s="25"/>
      <x:c r="C342" s="25"/>
      <x:c r="D342" s="25"/>
      <x:c r="E342" s="25"/>
      <x:c r="F342" s="25"/>
      <x:c r="G342" s="25"/>
      <x:c r="H342" s="25"/>
      <x:c r="I342" s="25"/>
      <x:c r="J342" s="25"/>
      <x:c r="K342" s="25"/>
      <x:c r="L342" s="25"/>
      <x:c r="M342" s="25"/>
      <x:c r="N342" s="25"/>
      <x:c r="O342" s="25"/>
      <x:c r="P342" s="25"/>
      <x:c r="Q342" s="25"/>
      <x:c r="R342" s="25"/>
      <x:c r="S342" s="25"/>
      <x:c r="T342" s="25"/>
      <x:c r="U342" s="25"/>
      <x:c r="V342" s="25"/>
      <x:c r="W342" s="25"/>
      <x:c r="X342" s="25"/>
      <x:c r="Y342" s="25"/>
      <x:c r="Z342" s="25"/>
    </x:row>
    <x:row r="343">
      <x:c r="A343" s="25"/>
      <x:c r="B343" s="25"/>
      <x:c r="C343" s="25"/>
      <x:c r="D343" s="25"/>
      <x:c r="E343" s="25"/>
      <x:c r="F343" s="25"/>
      <x:c r="G343" s="25"/>
      <x:c r="H343" s="25"/>
      <x:c r="I343" s="25"/>
      <x:c r="J343" s="25"/>
      <x:c r="K343" s="25"/>
      <x:c r="L343" s="25"/>
      <x:c r="M343" s="25"/>
      <x:c r="N343" s="25"/>
      <x:c r="O343" s="25"/>
      <x:c r="P343" s="25"/>
      <x:c r="Q343" s="25"/>
      <x:c r="R343" s="25"/>
      <x:c r="S343" s="25"/>
      <x:c r="T343" s="25"/>
      <x:c r="U343" s="25"/>
      <x:c r="V343" s="25"/>
      <x:c r="W343" s="25"/>
      <x:c r="X343" s="25"/>
      <x:c r="Y343" s="25"/>
      <x:c r="Z343" s="25"/>
    </x:row>
    <x:row r="344">
      <x:c r="A344" s="25"/>
      <x:c r="B344" s="25"/>
      <x:c r="C344" s="25"/>
      <x:c r="D344" s="25"/>
      <x:c r="E344" s="25"/>
      <x:c r="F344" s="25"/>
      <x:c r="G344" s="25"/>
      <x:c r="H344" s="25"/>
      <x:c r="I344" s="25"/>
      <x:c r="J344" s="25"/>
      <x:c r="K344" s="25"/>
      <x:c r="L344" s="25"/>
      <x:c r="M344" s="25"/>
      <x:c r="N344" s="25"/>
      <x:c r="O344" s="25"/>
      <x:c r="P344" s="25"/>
      <x:c r="Q344" s="25"/>
      <x:c r="R344" s="25"/>
      <x:c r="S344" s="25"/>
      <x:c r="T344" s="25"/>
      <x:c r="U344" s="25"/>
      <x:c r="V344" s="25"/>
      <x:c r="W344" s="25"/>
      <x:c r="X344" s="25"/>
      <x:c r="Y344" s="25"/>
      <x:c r="Z344" s="25"/>
    </x:row>
    <x:row r="345">
      <x:c r="A345" s="25"/>
      <x:c r="B345" s="25"/>
      <x:c r="C345" s="25"/>
      <x:c r="D345" s="25"/>
      <x:c r="E345" s="25"/>
      <x:c r="F345" s="25"/>
      <x:c r="G345" s="25"/>
      <x:c r="H345" s="25"/>
      <x:c r="I345" s="25"/>
      <x:c r="J345" s="25"/>
      <x:c r="K345" s="25"/>
      <x:c r="L345" s="25"/>
      <x:c r="M345" s="25"/>
      <x:c r="N345" s="25"/>
      <x:c r="O345" s="25"/>
      <x:c r="P345" s="25"/>
      <x:c r="Q345" s="25"/>
      <x:c r="R345" s="25"/>
      <x:c r="S345" s="25"/>
      <x:c r="T345" s="25"/>
      <x:c r="U345" s="25"/>
      <x:c r="V345" s="25"/>
      <x:c r="W345" s="25"/>
      <x:c r="X345" s="25"/>
      <x:c r="Y345" s="25"/>
      <x:c r="Z345" s="25"/>
    </x:row>
    <x:row r="346">
      <x:c r="A346" s="25"/>
      <x:c r="B346" s="25"/>
      <x:c r="C346" s="25"/>
      <x:c r="D346" s="25"/>
      <x:c r="E346" s="25"/>
      <x:c r="F346" s="25"/>
      <x:c r="G346" s="25"/>
      <x:c r="H346" s="25"/>
      <x:c r="I346" s="25"/>
      <x:c r="J346" s="25"/>
      <x:c r="K346" s="25"/>
      <x:c r="L346" s="25"/>
      <x:c r="M346" s="25"/>
      <x:c r="N346" s="25"/>
      <x:c r="O346" s="25"/>
      <x:c r="P346" s="25"/>
      <x:c r="Q346" s="25"/>
      <x:c r="R346" s="25"/>
      <x:c r="S346" s="25"/>
      <x:c r="T346" s="25"/>
      <x:c r="U346" s="25"/>
      <x:c r="V346" s="25"/>
      <x:c r="W346" s="25"/>
      <x:c r="X346" s="25"/>
      <x:c r="Y346" s="25"/>
      <x:c r="Z346" s="25"/>
    </x:row>
    <x:row r="347">
      <x:c r="A347" s="25"/>
      <x:c r="B347" s="25"/>
      <x:c r="C347" s="25"/>
      <x:c r="D347" s="25"/>
      <x:c r="E347" s="25"/>
      <x:c r="F347" s="25"/>
      <x:c r="G347" s="25"/>
      <x:c r="H347" s="25"/>
      <x:c r="I347" s="25"/>
      <x:c r="J347" s="25"/>
      <x:c r="K347" s="25"/>
      <x:c r="L347" s="25"/>
      <x:c r="M347" s="25"/>
      <x:c r="N347" s="25"/>
      <x:c r="O347" s="25"/>
      <x:c r="P347" s="25"/>
      <x:c r="Q347" s="25"/>
      <x:c r="R347" s="25"/>
      <x:c r="S347" s="25"/>
      <x:c r="T347" s="25"/>
      <x:c r="U347" s="25"/>
      <x:c r="V347" s="25"/>
      <x:c r="W347" s="25"/>
      <x:c r="X347" s="25"/>
      <x:c r="Y347" s="25"/>
      <x:c r="Z347" s="25"/>
    </x:row>
    <x:row r="348">
      <x:c r="A348" s="25"/>
      <x:c r="B348" s="25"/>
      <x:c r="C348" s="25"/>
      <x:c r="D348" s="25"/>
      <x:c r="E348" s="25"/>
      <x:c r="F348" s="25"/>
      <x:c r="G348" s="25"/>
      <x:c r="H348" s="25"/>
      <x:c r="I348" s="25"/>
      <x:c r="J348" s="25"/>
      <x:c r="K348" s="25"/>
      <x:c r="L348" s="25"/>
      <x:c r="M348" s="25"/>
      <x:c r="N348" s="25"/>
      <x:c r="O348" s="25"/>
      <x:c r="P348" s="25"/>
      <x:c r="Q348" s="25"/>
      <x:c r="R348" s="25"/>
      <x:c r="S348" s="25"/>
      <x:c r="T348" s="25"/>
      <x:c r="U348" s="25"/>
      <x:c r="V348" s="25"/>
      <x:c r="W348" s="25"/>
      <x:c r="X348" s="25"/>
      <x:c r="Y348" s="25"/>
      <x:c r="Z348" s="25"/>
    </x:row>
    <x:row r="349">
      <x:c r="A349" s="25"/>
      <x:c r="B349" s="25"/>
      <x:c r="C349" s="25"/>
      <x:c r="D349" s="25"/>
      <x:c r="E349" s="25"/>
      <x:c r="F349" s="25"/>
      <x:c r="G349" s="25"/>
      <x:c r="H349" s="25"/>
      <x:c r="I349" s="25"/>
      <x:c r="J349" s="25"/>
      <x:c r="K349" s="25"/>
      <x:c r="L349" s="25"/>
      <x:c r="M349" s="25"/>
      <x:c r="N349" s="25"/>
      <x:c r="O349" s="25"/>
      <x:c r="P349" s="25"/>
      <x:c r="Q349" s="25"/>
      <x:c r="R349" s="25"/>
      <x:c r="S349" s="25"/>
      <x:c r="T349" s="25"/>
      <x:c r="U349" s="25"/>
      <x:c r="V349" s="25"/>
      <x:c r="W349" s="25"/>
      <x:c r="X349" s="25"/>
      <x:c r="Y349" s="25"/>
      <x:c r="Z349" s="25"/>
    </x:row>
    <x:row r="350">
      <x:c r="A350" s="25"/>
      <x:c r="B350" s="25"/>
      <x:c r="C350" s="25"/>
      <x:c r="D350" s="25"/>
      <x:c r="E350" s="25"/>
      <x:c r="F350" s="25"/>
      <x:c r="G350" s="25"/>
      <x:c r="H350" s="25"/>
      <x:c r="I350" s="25"/>
      <x:c r="J350" s="25"/>
      <x:c r="K350" s="25"/>
      <x:c r="L350" s="25"/>
      <x:c r="M350" s="25"/>
      <x:c r="N350" s="25"/>
      <x:c r="O350" s="25"/>
      <x:c r="P350" s="25"/>
      <x:c r="Q350" s="25"/>
      <x:c r="R350" s="25"/>
      <x:c r="S350" s="25"/>
      <x:c r="T350" s="25"/>
      <x:c r="U350" s="25"/>
      <x:c r="V350" s="25"/>
      <x:c r="W350" s="25"/>
      <x:c r="X350" s="25"/>
      <x:c r="Y350" s="25"/>
      <x:c r="Z350" s="25"/>
    </x:row>
    <x:row r="351">
      <x:c r="A351" s="25"/>
      <x:c r="B351" s="25"/>
      <x:c r="C351" s="25"/>
      <x:c r="D351" s="25"/>
      <x:c r="E351" s="25"/>
      <x:c r="F351" s="25"/>
      <x:c r="G351" s="25"/>
      <x:c r="H351" s="25"/>
      <x:c r="I351" s="25"/>
      <x:c r="J351" s="25"/>
      <x:c r="K351" s="25"/>
      <x:c r="L351" s="25"/>
      <x:c r="M351" s="25"/>
      <x:c r="N351" s="25"/>
      <x:c r="O351" s="25"/>
      <x:c r="P351" s="25"/>
      <x:c r="Q351" s="25"/>
      <x:c r="R351" s="25"/>
      <x:c r="S351" s="25"/>
      <x:c r="T351" s="25"/>
      <x:c r="U351" s="25"/>
      <x:c r="V351" s="25"/>
      <x:c r="W351" s="25"/>
      <x:c r="X351" s="25"/>
      <x:c r="Y351" s="25"/>
      <x:c r="Z351" s="25"/>
    </x:row>
    <x:row r="352">
      <x:c r="A352" s="25"/>
      <x:c r="B352" s="25"/>
      <x:c r="C352" s="25"/>
      <x:c r="D352" s="25"/>
      <x:c r="E352" s="25"/>
      <x:c r="F352" s="25"/>
      <x:c r="G352" s="25"/>
      <x:c r="H352" s="25"/>
      <x:c r="I352" s="25"/>
      <x:c r="J352" s="25"/>
      <x:c r="K352" s="25"/>
      <x:c r="L352" s="25"/>
      <x:c r="M352" s="25"/>
      <x:c r="N352" s="25"/>
      <x:c r="O352" s="25"/>
      <x:c r="P352" s="25"/>
      <x:c r="Q352" s="25"/>
      <x:c r="R352" s="25"/>
      <x:c r="S352" s="25"/>
      <x:c r="T352" s="25"/>
      <x:c r="U352" s="25"/>
      <x:c r="V352" s="25"/>
      <x:c r="W352" s="25"/>
      <x:c r="X352" s="25"/>
      <x:c r="Y352" s="25"/>
      <x:c r="Z352" s="25"/>
    </x:row>
    <x:row r="353">
      <x:c r="A353" s="25"/>
      <x:c r="B353" s="25"/>
      <x:c r="C353" s="25"/>
      <x:c r="D353" s="25"/>
      <x:c r="E353" s="25"/>
      <x:c r="F353" s="25"/>
      <x:c r="G353" s="25"/>
      <x:c r="H353" s="25"/>
      <x:c r="I353" s="25"/>
      <x:c r="J353" s="25"/>
      <x:c r="K353" s="25"/>
      <x:c r="L353" s="25"/>
      <x:c r="M353" s="25"/>
      <x:c r="N353" s="25"/>
      <x:c r="O353" s="25"/>
      <x:c r="P353" s="25"/>
      <x:c r="Q353" s="25"/>
      <x:c r="R353" s="25"/>
      <x:c r="S353" s="25"/>
      <x:c r="T353" s="25"/>
      <x:c r="U353" s="25"/>
      <x:c r="V353" s="25"/>
      <x:c r="W353" s="25"/>
      <x:c r="X353" s="25"/>
      <x:c r="Y353" s="25"/>
      <x:c r="Z353" s="25"/>
    </x:row>
    <x:row r="354">
      <x:c r="A354" s="25"/>
      <x:c r="B354" s="25"/>
      <x:c r="C354" s="25"/>
      <x:c r="D354" s="25"/>
      <x:c r="E354" s="25"/>
      <x:c r="F354" s="25"/>
      <x:c r="G354" s="25"/>
      <x:c r="H354" s="25"/>
      <x:c r="I354" s="25"/>
      <x:c r="J354" s="25"/>
      <x:c r="K354" s="25"/>
      <x:c r="L354" s="25"/>
      <x:c r="M354" s="25"/>
      <x:c r="N354" s="25"/>
      <x:c r="O354" s="25"/>
      <x:c r="P354" s="25"/>
      <x:c r="Q354" s="25"/>
      <x:c r="R354" s="25"/>
      <x:c r="S354" s="25"/>
      <x:c r="T354" s="25"/>
      <x:c r="U354" s="25"/>
      <x:c r="V354" s="25"/>
      <x:c r="W354" s="25"/>
      <x:c r="X354" s="25"/>
      <x:c r="Y354" s="25"/>
      <x:c r="Z354" s="25"/>
    </x:row>
    <x:row r="355">
      <x:c r="A355" s="25"/>
      <x:c r="B355" s="25"/>
      <x:c r="C355" s="25"/>
      <x:c r="D355" s="25"/>
      <x:c r="E355" s="25"/>
      <x:c r="F355" s="25"/>
      <x:c r="G355" s="25"/>
      <x:c r="H355" s="25"/>
      <x:c r="I355" s="25"/>
      <x:c r="J355" s="25"/>
      <x:c r="K355" s="25"/>
      <x:c r="L355" s="25"/>
      <x:c r="M355" s="25"/>
      <x:c r="N355" s="25"/>
      <x:c r="O355" s="25"/>
      <x:c r="P355" s="25"/>
      <x:c r="Q355" s="25"/>
      <x:c r="R355" s="25"/>
      <x:c r="S355" s="25"/>
      <x:c r="T355" s="25"/>
      <x:c r="U355" s="25"/>
      <x:c r="V355" s="25"/>
      <x:c r="W355" s="25"/>
      <x:c r="X355" s="25"/>
      <x:c r="Y355" s="25"/>
      <x:c r="Z355" s="25"/>
    </x:row>
    <x:row r="356">
      <x:c r="A356" s="25"/>
      <x:c r="B356" s="25"/>
      <x:c r="C356" s="25"/>
      <x:c r="D356" s="25"/>
      <x:c r="E356" s="25"/>
      <x:c r="F356" s="25"/>
      <x:c r="G356" s="25"/>
      <x:c r="H356" s="25"/>
      <x:c r="I356" s="25"/>
      <x:c r="J356" s="25"/>
      <x:c r="K356" s="25"/>
      <x:c r="L356" s="25"/>
      <x:c r="M356" s="25"/>
      <x:c r="N356" s="25"/>
      <x:c r="O356" s="25"/>
      <x:c r="P356" s="25"/>
      <x:c r="Q356" s="25"/>
      <x:c r="R356" s="25"/>
      <x:c r="S356" s="25"/>
      <x:c r="T356" s="25"/>
      <x:c r="U356" s="25"/>
      <x:c r="V356" s="25"/>
      <x:c r="W356" s="25"/>
      <x:c r="X356" s="25"/>
      <x:c r="Y356" s="25"/>
      <x:c r="Z356" s="25"/>
    </x:row>
    <x:row r="357">
      <x:c r="A357" s="25"/>
      <x:c r="B357" s="25"/>
      <x:c r="C357" s="25"/>
      <x:c r="D357" s="25"/>
      <x:c r="E357" s="25"/>
      <x:c r="F357" s="25"/>
      <x:c r="G357" s="25"/>
      <x:c r="H357" s="25"/>
      <x:c r="I357" s="25"/>
      <x:c r="J357" s="25"/>
      <x:c r="K357" s="25"/>
      <x:c r="L357" s="25"/>
      <x:c r="M357" s="25"/>
      <x:c r="N357" s="25"/>
      <x:c r="O357" s="25"/>
      <x:c r="P357" s="25"/>
      <x:c r="Q357" s="25"/>
      <x:c r="R357" s="25"/>
      <x:c r="S357" s="25"/>
      <x:c r="T357" s="25"/>
      <x:c r="U357" s="25"/>
      <x:c r="V357" s="25"/>
      <x:c r="W357" s="25"/>
      <x:c r="X357" s="25"/>
      <x:c r="Y357" s="25"/>
      <x:c r="Z357" s="25"/>
    </x:row>
    <x:row r="358">
      <x:c r="A358" s="25"/>
      <x:c r="B358" s="25"/>
      <x:c r="C358" s="25"/>
      <x:c r="D358" s="25"/>
      <x:c r="E358" s="25"/>
      <x:c r="F358" s="25"/>
      <x:c r="G358" s="25"/>
      <x:c r="H358" s="25"/>
      <x:c r="I358" s="25"/>
      <x:c r="J358" s="25"/>
      <x:c r="K358" s="25"/>
      <x:c r="L358" s="25"/>
      <x:c r="M358" s="25"/>
      <x:c r="N358" s="25"/>
      <x:c r="O358" s="25"/>
      <x:c r="P358" s="25"/>
      <x:c r="Q358" s="25"/>
      <x:c r="R358" s="25"/>
      <x:c r="S358" s="25"/>
      <x:c r="T358" s="25"/>
      <x:c r="U358" s="25"/>
      <x:c r="V358" s="25"/>
      <x:c r="W358" s="25"/>
      <x:c r="X358" s="25"/>
      <x:c r="Y358" s="25"/>
      <x:c r="Z358" s="25"/>
    </x:row>
    <x:row r="359">
      <x:c r="A359" s="25"/>
      <x:c r="B359" s="25"/>
      <x:c r="C359" s="25"/>
      <x:c r="D359" s="25"/>
      <x:c r="E359" s="25"/>
      <x:c r="F359" s="25"/>
      <x:c r="G359" s="25"/>
      <x:c r="H359" s="25"/>
      <x:c r="I359" s="25"/>
      <x:c r="J359" s="25"/>
      <x:c r="K359" s="25"/>
      <x:c r="L359" s="25"/>
      <x:c r="M359" s="25"/>
      <x:c r="N359" s="25"/>
      <x:c r="O359" s="25"/>
      <x:c r="P359" s="25"/>
      <x:c r="Q359" s="25"/>
      <x:c r="R359" s="25"/>
      <x:c r="S359" s="25"/>
      <x:c r="T359" s="25"/>
      <x:c r="U359" s="25"/>
      <x:c r="V359" s="25"/>
      <x:c r="W359" s="25"/>
      <x:c r="X359" s="25"/>
      <x:c r="Y359" s="25"/>
      <x:c r="Z359" s="25"/>
    </x:row>
    <x:row r="360">
      <x:c r="A360" s="25"/>
      <x:c r="B360" s="25"/>
      <x:c r="C360" s="25"/>
      <x:c r="D360" s="25"/>
      <x:c r="E360" s="25"/>
      <x:c r="F360" s="25"/>
      <x:c r="G360" s="25"/>
      <x:c r="H360" s="25"/>
      <x:c r="I360" s="25"/>
      <x:c r="J360" s="25"/>
      <x:c r="K360" s="25"/>
      <x:c r="L360" s="25"/>
      <x:c r="M360" s="25"/>
      <x:c r="N360" s="25"/>
      <x:c r="O360" s="25"/>
      <x:c r="P360" s="25"/>
      <x:c r="Q360" s="25"/>
      <x:c r="R360" s="25"/>
      <x:c r="S360" s="25"/>
      <x:c r="T360" s="25"/>
      <x:c r="U360" s="25"/>
      <x:c r="V360" s="25"/>
      <x:c r="W360" s="25"/>
      <x:c r="X360" s="25"/>
      <x:c r="Y360" s="25"/>
      <x:c r="Z360" s="25"/>
    </x:row>
    <x:row r="361">
      <x:c r="A361" s="25"/>
      <x:c r="B361" s="25"/>
      <x:c r="C361" s="25"/>
      <x:c r="D361" s="25"/>
      <x:c r="E361" s="25"/>
      <x:c r="F361" s="25"/>
      <x:c r="G361" s="25"/>
      <x:c r="H361" s="25"/>
      <x:c r="I361" s="25"/>
      <x:c r="J361" s="25"/>
      <x:c r="K361" s="25"/>
      <x:c r="L361" s="25"/>
      <x:c r="M361" s="25"/>
      <x:c r="N361" s="25"/>
      <x:c r="O361" s="25"/>
      <x:c r="P361" s="25"/>
      <x:c r="Q361" s="25"/>
      <x:c r="R361" s="25"/>
      <x:c r="S361" s="25"/>
      <x:c r="T361" s="25"/>
      <x:c r="U361" s="25"/>
      <x:c r="V361" s="25"/>
      <x:c r="W361" s="25"/>
      <x:c r="X361" s="25"/>
      <x:c r="Y361" s="25"/>
      <x:c r="Z361" s="25"/>
    </x:row>
    <x:row r="362">
      <x:c r="A362" s="25"/>
      <x:c r="B362" s="25"/>
      <x:c r="C362" s="25"/>
      <x:c r="D362" s="25"/>
      <x:c r="E362" s="25"/>
      <x:c r="F362" s="25"/>
      <x:c r="G362" s="25"/>
      <x:c r="H362" s="25"/>
      <x:c r="I362" s="25"/>
      <x:c r="J362" s="25"/>
      <x:c r="K362" s="25"/>
      <x:c r="L362" s="25"/>
      <x:c r="M362" s="25"/>
      <x:c r="N362" s="25"/>
      <x:c r="O362" s="25"/>
      <x:c r="P362" s="25"/>
      <x:c r="Q362" s="25"/>
      <x:c r="R362" s="25"/>
      <x:c r="S362" s="25"/>
      <x:c r="T362" s="25"/>
      <x:c r="U362" s="25"/>
      <x:c r="V362" s="25"/>
      <x:c r="W362" s="25"/>
      <x:c r="X362" s="25"/>
      <x:c r="Y362" s="25"/>
      <x:c r="Z362" s="25"/>
    </x:row>
    <x:row r="363">
      <x:c r="A363" s="25"/>
      <x:c r="B363" s="25"/>
      <x:c r="C363" s="25"/>
      <x:c r="D363" s="25"/>
      <x:c r="E363" s="25"/>
      <x:c r="F363" s="25"/>
      <x:c r="G363" s="25"/>
      <x:c r="H363" s="25"/>
      <x:c r="I363" s="25"/>
      <x:c r="J363" s="25"/>
      <x:c r="K363" s="25"/>
      <x:c r="L363" s="25"/>
      <x:c r="M363" s="25"/>
      <x:c r="N363" s="25"/>
      <x:c r="O363" s="25"/>
      <x:c r="P363" s="25"/>
      <x:c r="Q363" s="25"/>
      <x:c r="R363" s="25"/>
      <x:c r="S363" s="25"/>
      <x:c r="T363" s="25"/>
      <x:c r="U363" s="25"/>
      <x:c r="V363" s="25"/>
      <x:c r="W363" s="25"/>
      <x:c r="X363" s="25"/>
      <x:c r="Y363" s="25"/>
      <x:c r="Z363" s="25"/>
    </x:row>
    <x:row r="364">
      <x:c r="A364" s="25"/>
      <x:c r="B364" s="25"/>
      <x:c r="C364" s="25"/>
      <x:c r="D364" s="25"/>
      <x:c r="E364" s="25"/>
      <x:c r="F364" s="25"/>
      <x:c r="G364" s="25"/>
      <x:c r="H364" s="25"/>
      <x:c r="I364" s="25"/>
      <x:c r="J364" s="25"/>
      <x:c r="K364" s="25"/>
      <x:c r="L364" s="25"/>
      <x:c r="M364" s="25"/>
      <x:c r="N364" s="25"/>
      <x:c r="O364" s="25"/>
      <x:c r="P364" s="25"/>
      <x:c r="Q364" s="25"/>
      <x:c r="R364" s="25"/>
      <x:c r="S364" s="25"/>
      <x:c r="T364" s="25"/>
      <x:c r="U364" s="25"/>
      <x:c r="V364" s="25"/>
      <x:c r="W364" s="25"/>
      <x:c r="X364" s="25"/>
      <x:c r="Y364" s="25"/>
      <x:c r="Z364" s="25"/>
    </x:row>
    <x:row r="365">
      <x:c r="A365" s="25"/>
      <x:c r="B365" s="25"/>
      <x:c r="C365" s="25"/>
      <x:c r="D365" s="25"/>
      <x:c r="E365" s="25"/>
      <x:c r="F365" s="25"/>
      <x:c r="G365" s="25"/>
      <x:c r="H365" s="25"/>
      <x:c r="I365" s="25"/>
      <x:c r="J365" s="25"/>
      <x:c r="K365" s="25"/>
      <x:c r="L365" s="25"/>
      <x:c r="M365" s="25"/>
      <x:c r="N365" s="25"/>
      <x:c r="O365" s="25"/>
      <x:c r="P365" s="25"/>
      <x:c r="Q365" s="25"/>
      <x:c r="R365" s="25"/>
      <x:c r="S365" s="25"/>
      <x:c r="T365" s="25"/>
      <x:c r="U365" s="25"/>
      <x:c r="V365" s="25"/>
      <x:c r="W365" s="25"/>
      <x:c r="X365" s="25"/>
      <x:c r="Y365" s="25"/>
      <x:c r="Z365" s="25"/>
    </x:row>
    <x:row r="366">
      <x:c r="A366" s="25"/>
      <x:c r="B366" s="25"/>
      <x:c r="C366" s="25"/>
      <x:c r="D366" s="25"/>
      <x:c r="E366" s="25"/>
      <x:c r="F366" s="25"/>
      <x:c r="G366" s="25"/>
      <x:c r="H366" s="25"/>
      <x:c r="I366" s="25"/>
      <x:c r="J366" s="25"/>
      <x:c r="K366" s="25"/>
      <x:c r="L366" s="25"/>
      <x:c r="M366" s="25"/>
      <x:c r="N366" s="25"/>
      <x:c r="O366" s="25"/>
      <x:c r="P366" s="25"/>
      <x:c r="Q366" s="25"/>
      <x:c r="R366" s="25"/>
      <x:c r="S366" s="25"/>
      <x:c r="T366" s="25"/>
      <x:c r="U366" s="25"/>
      <x:c r="V366" s="25"/>
      <x:c r="W366" s="25"/>
      <x:c r="X366" s="25"/>
      <x:c r="Y366" s="25"/>
      <x:c r="Z366" s="25"/>
    </x:row>
    <x:row r="367">
      <x:c r="A367" s="25"/>
      <x:c r="B367" s="25"/>
      <x:c r="C367" s="25"/>
      <x:c r="D367" s="25"/>
      <x:c r="E367" s="25"/>
      <x:c r="F367" s="25"/>
      <x:c r="G367" s="25"/>
      <x:c r="H367" s="25"/>
      <x:c r="I367" s="25"/>
      <x:c r="J367" s="25"/>
      <x:c r="K367" s="25"/>
      <x:c r="L367" s="25"/>
      <x:c r="M367" s="25"/>
      <x:c r="N367" s="25"/>
      <x:c r="O367" s="25"/>
      <x:c r="P367" s="25"/>
      <x:c r="Q367" s="25"/>
      <x:c r="R367" s="25"/>
      <x:c r="S367" s="25"/>
      <x:c r="T367" s="25"/>
      <x:c r="U367" s="25"/>
      <x:c r="V367" s="25"/>
      <x:c r="W367" s="25"/>
      <x:c r="X367" s="25"/>
      <x:c r="Y367" s="25"/>
      <x:c r="Z367" s="25"/>
    </x:row>
    <x:row r="368">
      <x:c r="A368" s="25"/>
      <x:c r="B368" s="25"/>
      <x:c r="C368" s="25"/>
      <x:c r="D368" s="25"/>
      <x:c r="E368" s="25"/>
      <x:c r="F368" s="25"/>
      <x:c r="G368" s="25"/>
      <x:c r="H368" s="25"/>
      <x:c r="I368" s="25"/>
      <x:c r="J368" s="25"/>
      <x:c r="K368" s="25"/>
      <x:c r="L368" s="25"/>
      <x:c r="M368" s="25"/>
      <x:c r="N368" s="25"/>
      <x:c r="O368" s="25"/>
      <x:c r="P368" s="25"/>
      <x:c r="Q368" s="25"/>
      <x:c r="R368" s="25"/>
      <x:c r="S368" s="25"/>
      <x:c r="T368" s="25"/>
      <x:c r="U368" s="25"/>
      <x:c r="V368" s="25"/>
      <x:c r="W368" s="25"/>
      <x:c r="X368" s="25"/>
      <x:c r="Y368" s="25"/>
      <x:c r="Z368" s="25"/>
    </x:row>
    <x:row r="369">
      <x:c r="A369" s="25"/>
      <x:c r="B369" s="25"/>
      <x:c r="C369" s="25"/>
      <x:c r="D369" s="25"/>
      <x:c r="E369" s="25"/>
      <x:c r="F369" s="25"/>
      <x:c r="G369" s="25"/>
      <x:c r="H369" s="25"/>
      <x:c r="I369" s="25"/>
      <x:c r="J369" s="25"/>
      <x:c r="K369" s="25"/>
      <x:c r="L369" s="25"/>
      <x:c r="M369" s="25"/>
      <x:c r="N369" s="25"/>
      <x:c r="O369" s="25"/>
      <x:c r="P369" s="25"/>
      <x:c r="Q369" s="25"/>
      <x:c r="R369" s="25"/>
      <x:c r="S369" s="25"/>
      <x:c r="T369" s="25"/>
      <x:c r="U369" s="25"/>
      <x:c r="V369" s="25"/>
      <x:c r="W369" s="25"/>
      <x:c r="X369" s="25"/>
      <x:c r="Y369" s="25"/>
      <x:c r="Z369" s="25"/>
    </x:row>
    <x:row r="370">
      <x:c r="A370" s="25"/>
      <x:c r="B370" s="25"/>
      <x:c r="C370" s="25"/>
      <x:c r="D370" s="25"/>
      <x:c r="E370" s="25"/>
      <x:c r="F370" s="25"/>
      <x:c r="G370" s="25"/>
      <x:c r="H370" s="25"/>
      <x:c r="I370" s="25"/>
      <x:c r="J370" s="25"/>
      <x:c r="K370" s="25"/>
      <x:c r="L370" s="25"/>
      <x:c r="M370" s="25"/>
      <x:c r="N370" s="25"/>
      <x:c r="O370" s="25"/>
      <x:c r="P370" s="25"/>
      <x:c r="Q370" s="25"/>
      <x:c r="R370" s="25"/>
      <x:c r="S370" s="25"/>
      <x:c r="T370" s="25"/>
      <x:c r="U370" s="25"/>
      <x:c r="V370" s="25"/>
      <x:c r="W370" s="25"/>
      <x:c r="X370" s="25"/>
      <x:c r="Y370" s="25"/>
      <x:c r="Z370" s="25"/>
    </x:row>
    <x:row r="371">
      <x:c r="A371" s="25"/>
      <x:c r="B371" s="25"/>
      <x:c r="C371" s="25"/>
      <x:c r="D371" s="25"/>
      <x:c r="E371" s="25"/>
      <x:c r="F371" s="25"/>
      <x:c r="G371" s="25"/>
      <x:c r="H371" s="25"/>
      <x:c r="I371" s="25"/>
      <x:c r="J371" s="25"/>
      <x:c r="K371" s="25"/>
      <x:c r="L371" s="25"/>
      <x:c r="M371" s="25"/>
      <x:c r="N371" s="25"/>
      <x:c r="O371" s="25"/>
      <x:c r="P371" s="25"/>
      <x:c r="Q371" s="25"/>
      <x:c r="R371" s="25"/>
      <x:c r="S371" s="25"/>
      <x:c r="T371" s="25"/>
      <x:c r="U371" s="25"/>
      <x:c r="V371" s="25"/>
      <x:c r="W371" s="25"/>
      <x:c r="X371" s="25"/>
      <x:c r="Y371" s="25"/>
      <x:c r="Z371" s="25"/>
    </x:row>
    <x:row r="372">
      <x:c r="A372" s="25"/>
      <x:c r="B372" s="25"/>
      <x:c r="C372" s="25"/>
      <x:c r="D372" s="25"/>
      <x:c r="E372" s="25"/>
      <x:c r="F372" s="25"/>
      <x:c r="G372" s="25"/>
      <x:c r="H372" s="25"/>
      <x:c r="I372" s="25"/>
      <x:c r="J372" s="25"/>
      <x:c r="K372" s="25"/>
      <x:c r="L372" s="25"/>
      <x:c r="M372" s="25"/>
      <x:c r="N372" s="25"/>
      <x:c r="O372" s="25"/>
      <x:c r="P372" s="25"/>
      <x:c r="Q372" s="25"/>
      <x:c r="R372" s="25"/>
      <x:c r="S372" s="25"/>
      <x:c r="T372" s="25"/>
      <x:c r="U372" s="25"/>
      <x:c r="V372" s="25"/>
      <x:c r="W372" s="25"/>
      <x:c r="X372" s="25"/>
      <x:c r="Y372" s="25"/>
      <x:c r="Z372" s="25"/>
    </x:row>
    <x:row r="373">
      <x:c r="A373" s="25"/>
      <x:c r="B373" s="25"/>
      <x:c r="C373" s="25"/>
      <x:c r="D373" s="25"/>
      <x:c r="E373" s="25"/>
      <x:c r="F373" s="25"/>
      <x:c r="G373" s="25"/>
      <x:c r="H373" s="25"/>
      <x:c r="I373" s="25"/>
      <x:c r="J373" s="25"/>
      <x:c r="K373" s="25"/>
      <x:c r="L373" s="25"/>
      <x:c r="M373" s="25"/>
      <x:c r="N373" s="25"/>
      <x:c r="O373" s="25"/>
      <x:c r="P373" s="25"/>
      <x:c r="Q373" s="25"/>
      <x:c r="R373" s="25"/>
      <x:c r="S373" s="25"/>
      <x:c r="T373" s="25"/>
      <x:c r="U373" s="25"/>
      <x:c r="V373" s="25"/>
      <x:c r="W373" s="25"/>
      <x:c r="X373" s="25"/>
      <x:c r="Y373" s="25"/>
      <x:c r="Z373" s="25"/>
    </x:row>
    <x:row r="374">
      <x:c r="A374" s="25"/>
      <x:c r="B374" s="25"/>
      <x:c r="C374" s="25"/>
      <x:c r="D374" s="25"/>
      <x:c r="E374" s="25"/>
      <x:c r="F374" s="25"/>
      <x:c r="G374" s="25"/>
      <x:c r="H374" s="25"/>
      <x:c r="I374" s="25"/>
      <x:c r="J374" s="25"/>
      <x:c r="K374" s="25"/>
      <x:c r="L374" s="25"/>
      <x:c r="M374" s="25"/>
      <x:c r="N374" s="25"/>
      <x:c r="O374" s="25"/>
      <x:c r="P374" s="25"/>
      <x:c r="Q374" s="25"/>
      <x:c r="R374" s="25"/>
      <x:c r="S374" s="25"/>
      <x:c r="T374" s="25"/>
      <x:c r="U374" s="25"/>
      <x:c r="V374" s="25"/>
      <x:c r="W374" s="25"/>
      <x:c r="X374" s="25"/>
      <x:c r="Y374" s="25"/>
      <x:c r="Z374" s="25"/>
    </x:row>
    <x:row r="375">
      <x:c r="A375" s="25"/>
      <x:c r="B375" s="25"/>
      <x:c r="C375" s="25"/>
      <x:c r="D375" s="25"/>
      <x:c r="E375" s="25"/>
      <x:c r="F375" s="25"/>
      <x:c r="G375" s="25"/>
      <x:c r="H375" s="25"/>
      <x:c r="I375" s="25"/>
      <x:c r="J375" s="25"/>
      <x:c r="K375" s="25"/>
      <x:c r="L375" s="25"/>
      <x:c r="M375" s="25"/>
      <x:c r="N375" s="25"/>
      <x:c r="O375" s="25"/>
      <x:c r="P375" s="25"/>
      <x:c r="Q375" s="25"/>
      <x:c r="R375" s="25"/>
      <x:c r="S375" s="25"/>
      <x:c r="T375" s="25"/>
      <x:c r="U375" s="25"/>
      <x:c r="V375" s="25"/>
      <x:c r="W375" s="25"/>
      <x:c r="X375" s="25"/>
      <x:c r="Y375" s="25"/>
      <x:c r="Z375" s="25"/>
    </x:row>
    <x:row r="376">
      <x:c r="A376" s="25"/>
      <x:c r="B376" s="25"/>
      <x:c r="C376" s="25"/>
      <x:c r="D376" s="25"/>
      <x:c r="E376" s="25"/>
      <x:c r="F376" s="25"/>
      <x:c r="G376" s="25"/>
      <x:c r="H376" s="25"/>
      <x:c r="I376" s="25"/>
      <x:c r="J376" s="25"/>
      <x:c r="K376" s="25"/>
      <x:c r="L376" s="25"/>
      <x:c r="M376" s="25"/>
      <x:c r="N376" s="25"/>
      <x:c r="O376" s="25"/>
      <x:c r="P376" s="25"/>
      <x:c r="Q376" s="25"/>
      <x:c r="R376" s="25"/>
      <x:c r="S376" s="25"/>
      <x:c r="T376" s="25"/>
      <x:c r="U376" s="25"/>
      <x:c r="V376" s="25"/>
      <x:c r="W376" s="25"/>
      <x:c r="X376" s="25"/>
      <x:c r="Y376" s="25"/>
      <x:c r="Z376" s="25"/>
    </x:row>
    <x:row r="377">
      <x:c r="A377" s="25"/>
      <x:c r="B377" s="25"/>
      <x:c r="C377" s="25"/>
      <x:c r="D377" s="25"/>
      <x:c r="E377" s="25"/>
      <x:c r="F377" s="25"/>
      <x:c r="G377" s="25"/>
      <x:c r="H377" s="25"/>
      <x:c r="I377" s="25"/>
      <x:c r="J377" s="25"/>
      <x:c r="K377" s="25"/>
      <x:c r="L377" s="25"/>
      <x:c r="M377" s="25"/>
      <x:c r="N377" s="25"/>
      <x:c r="O377" s="25"/>
      <x:c r="P377" s="25"/>
      <x:c r="Q377" s="25"/>
      <x:c r="R377" s="25"/>
      <x:c r="S377" s="25"/>
      <x:c r="T377" s="25"/>
      <x:c r="U377" s="25"/>
      <x:c r="V377" s="25"/>
      <x:c r="W377" s="25"/>
      <x:c r="X377" s="25"/>
      <x:c r="Y377" s="25"/>
      <x:c r="Z377" s="25"/>
    </x:row>
    <x:row r="378">
      <x:c r="A378" s="25"/>
      <x:c r="B378" s="25"/>
      <x:c r="C378" s="25"/>
      <x:c r="D378" s="25"/>
      <x:c r="E378" s="25"/>
      <x:c r="F378" s="25"/>
      <x:c r="G378" s="25"/>
      <x:c r="H378" s="25"/>
      <x:c r="I378" s="25"/>
      <x:c r="J378" s="25"/>
      <x:c r="K378" s="25"/>
      <x:c r="L378" s="25"/>
      <x:c r="M378" s="25"/>
      <x:c r="N378" s="25"/>
      <x:c r="O378" s="25"/>
      <x:c r="P378" s="25"/>
      <x:c r="Q378" s="25"/>
      <x:c r="R378" s="25"/>
      <x:c r="S378" s="25"/>
      <x:c r="T378" s="25"/>
      <x:c r="U378" s="25"/>
      <x:c r="V378" s="25"/>
      <x:c r="W378" s="25"/>
      <x:c r="X378" s="25"/>
      <x:c r="Y378" s="25"/>
      <x:c r="Z378" s="25"/>
    </x:row>
    <x:row r="379">
      <x:c r="A379" s="25"/>
      <x:c r="B379" s="25"/>
      <x:c r="C379" s="25"/>
      <x:c r="D379" s="25"/>
      <x:c r="E379" s="25"/>
      <x:c r="F379" s="25"/>
      <x:c r="G379" s="25"/>
      <x:c r="H379" s="25"/>
      <x:c r="I379" s="25"/>
      <x:c r="J379" s="25"/>
      <x:c r="K379" s="25"/>
      <x:c r="L379" s="25"/>
      <x:c r="M379" s="25"/>
      <x:c r="N379" s="25"/>
      <x:c r="O379" s="25"/>
      <x:c r="P379" s="25"/>
      <x:c r="Q379" s="25"/>
      <x:c r="R379" s="25"/>
      <x:c r="S379" s="25"/>
      <x:c r="T379" s="25"/>
      <x:c r="U379" s="25"/>
      <x:c r="V379" s="25"/>
      <x:c r="W379" s="25"/>
      <x:c r="X379" s="25"/>
      <x:c r="Y379" s="25"/>
      <x:c r="Z379" s="25"/>
    </x:row>
    <x:row r="380">
      <x:c r="A380" s="25"/>
      <x:c r="B380" s="25"/>
      <x:c r="C380" s="25"/>
      <x:c r="D380" s="25"/>
      <x:c r="E380" s="25"/>
      <x:c r="F380" s="25"/>
      <x:c r="G380" s="25"/>
      <x:c r="H380" s="25"/>
      <x:c r="I380" s="25"/>
      <x:c r="J380" s="25"/>
      <x:c r="K380" s="25"/>
      <x:c r="L380" s="25"/>
      <x:c r="M380" s="25"/>
      <x:c r="N380" s="25"/>
      <x:c r="O380" s="25"/>
      <x:c r="P380" s="25"/>
      <x:c r="Q380" s="25"/>
      <x:c r="R380" s="25"/>
      <x:c r="S380" s="25"/>
      <x:c r="T380" s="25"/>
      <x:c r="U380" s="25"/>
      <x:c r="V380" s="25"/>
      <x:c r="W380" s="25"/>
      <x:c r="X380" s="25"/>
      <x:c r="Y380" s="25"/>
      <x:c r="Z380" s="25"/>
    </x:row>
    <x:row r="381">
      <x:c r="A381" s="25"/>
      <x:c r="B381" s="25"/>
      <x:c r="C381" s="25"/>
      <x:c r="D381" s="25"/>
      <x:c r="E381" s="25"/>
      <x:c r="F381" s="25"/>
      <x:c r="G381" s="25"/>
      <x:c r="H381" s="25"/>
      <x:c r="I381" s="25"/>
      <x:c r="J381" s="25"/>
      <x:c r="K381" s="25"/>
      <x:c r="L381" s="25"/>
      <x:c r="M381" s="25"/>
      <x:c r="N381" s="25"/>
      <x:c r="O381" s="25"/>
      <x:c r="P381" s="25"/>
      <x:c r="Q381" s="25"/>
      <x:c r="R381" s="25"/>
      <x:c r="S381" s="25"/>
      <x:c r="T381" s="25"/>
      <x:c r="U381" s="25"/>
      <x:c r="V381" s="25"/>
      <x:c r="W381" s="25"/>
      <x:c r="X381" s="25"/>
      <x:c r="Y381" s="25"/>
      <x:c r="Z381" s="25"/>
    </x:row>
    <x:row r="382">
      <x:c r="A382" s="25"/>
      <x:c r="B382" s="25"/>
      <x:c r="C382" s="25"/>
      <x:c r="D382" s="25"/>
      <x:c r="E382" s="25"/>
      <x:c r="F382" s="25"/>
      <x:c r="G382" s="25"/>
      <x:c r="H382" s="25"/>
      <x:c r="I382" s="25"/>
      <x:c r="J382" s="25"/>
      <x:c r="K382" s="25"/>
      <x:c r="L382" s="25"/>
      <x:c r="M382" s="25"/>
      <x:c r="N382" s="25"/>
      <x:c r="O382" s="25"/>
      <x:c r="P382" s="25"/>
      <x:c r="Q382" s="25"/>
      <x:c r="R382" s="25"/>
      <x:c r="S382" s="25"/>
      <x:c r="T382" s="25"/>
      <x:c r="U382" s="25"/>
      <x:c r="V382" s="25"/>
      <x:c r="W382" s="25"/>
      <x:c r="X382" s="25"/>
      <x:c r="Y382" s="25"/>
      <x:c r="Z382" s="25"/>
    </x:row>
    <x:row r="383">
      <x:c r="A383" s="25"/>
      <x:c r="B383" s="25"/>
      <x:c r="C383" s="25"/>
      <x:c r="D383" s="25"/>
      <x:c r="E383" s="25"/>
      <x:c r="F383" s="25"/>
      <x:c r="G383" s="25"/>
      <x:c r="H383" s="25"/>
      <x:c r="I383" s="25"/>
      <x:c r="J383" s="25"/>
      <x:c r="K383" s="25"/>
      <x:c r="L383" s="25"/>
      <x:c r="M383" s="25"/>
      <x:c r="N383" s="25"/>
      <x:c r="O383" s="25"/>
      <x:c r="P383" s="25"/>
      <x:c r="Q383" s="25"/>
      <x:c r="R383" s="25"/>
      <x:c r="S383" s="25"/>
      <x:c r="T383" s="25"/>
      <x:c r="U383" s="25"/>
      <x:c r="V383" s="25"/>
      <x:c r="W383" s="25"/>
      <x:c r="X383" s="25"/>
      <x:c r="Y383" s="25"/>
      <x:c r="Z383" s="25"/>
    </x:row>
    <x:row r="384">
      <x:c r="A384" s="25"/>
      <x:c r="B384" s="25"/>
      <x:c r="C384" s="25"/>
      <x:c r="D384" s="25"/>
      <x:c r="E384" s="25"/>
      <x:c r="F384" s="25"/>
      <x:c r="G384" s="25"/>
      <x:c r="H384" s="25"/>
      <x:c r="I384" s="25"/>
      <x:c r="J384" s="25"/>
      <x:c r="K384" s="25"/>
      <x:c r="L384" s="25"/>
      <x:c r="M384" s="25"/>
      <x:c r="N384" s="25"/>
      <x:c r="O384" s="25"/>
      <x:c r="P384" s="25"/>
      <x:c r="Q384" s="25"/>
      <x:c r="R384" s="25"/>
      <x:c r="S384" s="25"/>
      <x:c r="T384" s="25"/>
      <x:c r="U384" s="25"/>
      <x:c r="V384" s="25"/>
      <x:c r="W384" s="25"/>
      <x:c r="X384" s="25"/>
      <x:c r="Y384" s="25"/>
      <x:c r="Z384" s="25"/>
    </x:row>
    <x:row r="385">
      <x:c r="A385" s="25"/>
      <x:c r="B385" s="25"/>
      <x:c r="C385" s="25"/>
      <x:c r="D385" s="25"/>
      <x:c r="E385" s="25"/>
      <x:c r="F385" s="25"/>
      <x:c r="G385" s="25"/>
      <x:c r="H385" s="25"/>
      <x:c r="I385" s="25"/>
      <x:c r="J385" s="25"/>
      <x:c r="K385" s="25"/>
      <x:c r="L385" s="25"/>
      <x:c r="M385" s="25"/>
      <x:c r="N385" s="25"/>
      <x:c r="O385" s="25"/>
      <x:c r="P385" s="25"/>
      <x:c r="Q385" s="25"/>
      <x:c r="R385" s="25"/>
      <x:c r="S385" s="25"/>
      <x:c r="T385" s="25"/>
      <x:c r="U385" s="25"/>
      <x:c r="V385" s="25"/>
      <x:c r="W385" s="25"/>
      <x:c r="X385" s="25"/>
      <x:c r="Y385" s="25"/>
      <x:c r="Z385" s="25"/>
    </x:row>
    <x:row r="386">
      <x:c r="A386" s="25"/>
      <x:c r="B386" s="25"/>
      <x:c r="C386" s="25"/>
      <x:c r="D386" s="25"/>
      <x:c r="E386" s="25"/>
      <x:c r="F386" s="25"/>
      <x:c r="G386" s="25"/>
      <x:c r="H386" s="25"/>
      <x:c r="I386" s="25"/>
      <x:c r="J386" s="25"/>
      <x:c r="K386" s="25"/>
      <x:c r="L386" s="25"/>
      <x:c r="M386" s="25"/>
      <x:c r="N386" s="25"/>
      <x:c r="O386" s="25"/>
      <x:c r="P386" s="25"/>
      <x:c r="Q386" s="25"/>
      <x:c r="R386" s="25"/>
      <x:c r="S386" s="25"/>
      <x:c r="T386" s="25"/>
      <x:c r="U386" s="25"/>
      <x:c r="V386" s="25"/>
      <x:c r="W386" s="25"/>
      <x:c r="X386" s="25"/>
      <x:c r="Y386" s="25"/>
      <x:c r="Z386" s="25"/>
    </x:row>
    <x:row r="387">
      <x:c r="A387" s="25"/>
      <x:c r="B387" s="25"/>
      <x:c r="C387" s="25"/>
      <x:c r="D387" s="25"/>
      <x:c r="E387" s="25"/>
      <x:c r="F387" s="25"/>
      <x:c r="G387" s="25"/>
      <x:c r="H387" s="25"/>
      <x:c r="I387" s="25"/>
      <x:c r="J387" s="25"/>
      <x:c r="K387" s="25"/>
      <x:c r="L387" s="25"/>
      <x:c r="M387" s="25"/>
      <x:c r="N387" s="25"/>
      <x:c r="O387" s="25"/>
      <x:c r="P387" s="25"/>
      <x:c r="Q387" s="25"/>
      <x:c r="R387" s="25"/>
      <x:c r="S387" s="25"/>
      <x:c r="T387" s="25"/>
      <x:c r="U387" s="25"/>
      <x:c r="V387" s="25"/>
      <x:c r="W387" s="25"/>
      <x:c r="X387" s="25"/>
      <x:c r="Y387" s="25"/>
      <x:c r="Z387" s="25"/>
    </x:row>
    <x:row r="388">
      <x:c r="A388" s="25"/>
      <x:c r="B388" s="25"/>
      <x:c r="C388" s="25"/>
      <x:c r="D388" s="25"/>
      <x:c r="E388" s="25"/>
      <x:c r="F388" s="25"/>
      <x:c r="G388" s="25"/>
      <x:c r="H388" s="25"/>
      <x:c r="I388" s="25"/>
      <x:c r="J388" s="25"/>
      <x:c r="K388" s="25"/>
      <x:c r="L388" s="25"/>
      <x:c r="M388" s="25"/>
      <x:c r="N388" s="25"/>
      <x:c r="O388" s="25"/>
      <x:c r="P388" s="25"/>
      <x:c r="Q388" s="25"/>
      <x:c r="R388" s="25"/>
      <x:c r="S388" s="25"/>
      <x:c r="T388" s="25"/>
      <x:c r="U388" s="25"/>
      <x:c r="V388" s="25"/>
      <x:c r="W388" s="25"/>
      <x:c r="X388" s="25"/>
      <x:c r="Y388" s="25"/>
      <x:c r="Z388" s="25"/>
    </x:row>
    <x:row r="389">
      <x:c r="A389" s="25"/>
      <x:c r="B389" s="25"/>
      <x:c r="C389" s="25"/>
      <x:c r="D389" s="25"/>
      <x:c r="E389" s="25"/>
      <x:c r="F389" s="25"/>
      <x:c r="G389" s="25"/>
      <x:c r="H389" s="25"/>
      <x:c r="I389" s="25"/>
      <x:c r="J389" s="25"/>
      <x:c r="K389" s="25"/>
      <x:c r="L389" s="25"/>
      <x:c r="M389" s="25"/>
      <x:c r="N389" s="25"/>
      <x:c r="O389" s="25"/>
      <x:c r="P389" s="25"/>
      <x:c r="Q389" s="25"/>
      <x:c r="R389" s="25"/>
      <x:c r="S389" s="25"/>
      <x:c r="T389" s="25"/>
      <x:c r="U389" s="25"/>
      <x:c r="V389" s="25"/>
      <x:c r="W389" s="25"/>
      <x:c r="X389" s="25"/>
      <x:c r="Y389" s="25"/>
      <x:c r="Z389" s="25"/>
    </x:row>
    <x:row r="390">
      <x:c r="A390" s="25"/>
      <x:c r="B390" s="25"/>
      <x:c r="C390" s="25"/>
      <x:c r="D390" s="25"/>
      <x:c r="E390" s="25"/>
      <x:c r="F390" s="25"/>
      <x:c r="G390" s="25"/>
      <x:c r="H390" s="25"/>
      <x:c r="I390" s="25"/>
      <x:c r="J390" s="25"/>
      <x:c r="K390" s="25"/>
      <x:c r="L390" s="25"/>
      <x:c r="M390" s="25"/>
      <x:c r="N390" s="25"/>
      <x:c r="O390" s="25"/>
      <x:c r="P390" s="25"/>
      <x:c r="Q390" s="25"/>
      <x:c r="R390" s="25"/>
      <x:c r="S390" s="25"/>
      <x:c r="T390" s="25"/>
      <x:c r="U390" s="25"/>
      <x:c r="V390" s="25"/>
      <x:c r="W390" s="25"/>
      <x:c r="X390" s="25"/>
      <x:c r="Y390" s="25"/>
      <x:c r="Z390" s="25"/>
    </x:row>
    <x:row r="391">
      <x:c r="A391" s="25"/>
      <x:c r="B391" s="25"/>
      <x:c r="C391" s="25"/>
      <x:c r="D391" s="25"/>
      <x:c r="E391" s="25"/>
      <x:c r="F391" s="25"/>
      <x:c r="G391" s="25"/>
      <x:c r="H391" s="25"/>
      <x:c r="I391" s="25"/>
      <x:c r="J391" s="25"/>
      <x:c r="K391" s="25"/>
      <x:c r="L391" s="25"/>
      <x:c r="M391" s="25"/>
      <x:c r="N391" s="25"/>
      <x:c r="O391" s="25"/>
      <x:c r="P391" s="25"/>
      <x:c r="Q391" s="25"/>
      <x:c r="R391" s="25"/>
      <x:c r="S391" s="25"/>
      <x:c r="T391" s="25"/>
      <x:c r="U391" s="25"/>
      <x:c r="V391" s="25"/>
      <x:c r="W391" s="25"/>
      <x:c r="X391" s="25"/>
      <x:c r="Y391" s="25"/>
      <x:c r="Z391" s="25"/>
    </x:row>
    <x:row r="392">
      <x:c r="A392" s="25"/>
      <x:c r="B392" s="25"/>
      <x:c r="C392" s="25"/>
      <x:c r="D392" s="25"/>
      <x:c r="E392" s="25"/>
      <x:c r="F392" s="25"/>
      <x:c r="G392" s="25"/>
      <x:c r="H392" s="25"/>
      <x:c r="I392" s="25"/>
      <x:c r="J392" s="25"/>
      <x:c r="K392" s="25"/>
      <x:c r="L392" s="25"/>
      <x:c r="M392" s="25"/>
      <x:c r="N392" s="25"/>
      <x:c r="O392" s="25"/>
      <x:c r="P392" s="25"/>
      <x:c r="Q392" s="25"/>
      <x:c r="R392" s="25"/>
      <x:c r="S392" s="25"/>
      <x:c r="T392" s="25"/>
      <x:c r="U392" s="25"/>
      <x:c r="V392" s="25"/>
      <x:c r="W392" s="25"/>
      <x:c r="X392" s="25"/>
      <x:c r="Y392" s="25"/>
      <x:c r="Z392" s="25"/>
    </x:row>
    <x:row r="393">
      <x:c r="A393" s="25"/>
      <x:c r="B393" s="25"/>
      <x:c r="C393" s="25"/>
      <x:c r="D393" s="25"/>
      <x:c r="E393" s="25"/>
      <x:c r="F393" s="25"/>
      <x:c r="G393" s="25"/>
      <x:c r="H393" s="25"/>
      <x:c r="I393" s="25"/>
      <x:c r="J393" s="25"/>
      <x:c r="K393" s="25"/>
      <x:c r="L393" s="25"/>
      <x:c r="M393" s="25"/>
      <x:c r="N393" s="25"/>
      <x:c r="O393" s="25"/>
      <x:c r="P393" s="25"/>
      <x:c r="Q393" s="25"/>
      <x:c r="R393" s="25"/>
      <x:c r="S393" s="25"/>
      <x:c r="T393" s="25"/>
      <x:c r="U393" s="25"/>
      <x:c r="V393" s="25"/>
      <x:c r="W393" s="25"/>
      <x:c r="X393" s="25"/>
      <x:c r="Y393" s="25"/>
      <x:c r="Z393" s="25"/>
    </x:row>
    <x:row r="394">
      <x:c r="A394" s="25"/>
      <x:c r="B394" s="25"/>
      <x:c r="C394" s="25"/>
      <x:c r="D394" s="25"/>
      <x:c r="E394" s="25"/>
      <x:c r="F394" s="25"/>
      <x:c r="G394" s="25"/>
      <x:c r="H394" s="25"/>
      <x:c r="I394" s="25"/>
      <x:c r="J394" s="25"/>
      <x:c r="K394" s="25"/>
      <x:c r="L394" s="25"/>
      <x:c r="M394" s="25"/>
      <x:c r="N394" s="25"/>
      <x:c r="O394" s="25"/>
      <x:c r="P394" s="25"/>
      <x:c r="Q394" s="25"/>
      <x:c r="R394" s="25"/>
      <x:c r="S394" s="25"/>
      <x:c r="T394" s="25"/>
      <x:c r="U394" s="25"/>
      <x:c r="V394" s="25"/>
      <x:c r="W394" s="25"/>
      <x:c r="X394" s="25"/>
      <x:c r="Y394" s="25"/>
      <x:c r="Z394" s="25"/>
    </x:row>
    <x:row r="395">
      <x:c r="A395" s="25"/>
      <x:c r="B395" s="25"/>
      <x:c r="C395" s="25"/>
      <x:c r="D395" s="25"/>
      <x:c r="E395" s="25"/>
      <x:c r="F395" s="25"/>
      <x:c r="G395" s="25"/>
      <x:c r="H395" s="25"/>
      <x:c r="I395" s="25"/>
      <x:c r="J395" s="25"/>
      <x:c r="K395" s="25"/>
      <x:c r="L395" s="25"/>
      <x:c r="M395" s="25"/>
      <x:c r="N395" s="25"/>
      <x:c r="O395" s="25"/>
      <x:c r="P395" s="25"/>
      <x:c r="Q395" s="25"/>
      <x:c r="R395" s="25"/>
      <x:c r="S395" s="25"/>
      <x:c r="T395" s="25"/>
      <x:c r="U395" s="25"/>
      <x:c r="V395" s="25"/>
      <x:c r="W395" s="25"/>
      <x:c r="X395" s="25"/>
      <x:c r="Y395" s="25"/>
      <x:c r="Z395" s="25"/>
    </x:row>
    <x:row r="396">
      <x:c r="A396" s="25"/>
      <x:c r="B396" s="25"/>
      <x:c r="C396" s="25"/>
      <x:c r="D396" s="25"/>
      <x:c r="E396" s="25"/>
      <x:c r="F396" s="25"/>
      <x:c r="G396" s="25"/>
      <x:c r="H396" s="25"/>
      <x:c r="I396" s="25"/>
      <x:c r="J396" s="25"/>
      <x:c r="K396" s="25"/>
      <x:c r="L396" s="25"/>
      <x:c r="M396" s="25"/>
      <x:c r="N396" s="25"/>
      <x:c r="O396" s="25"/>
      <x:c r="P396" s="25"/>
      <x:c r="Q396" s="25"/>
      <x:c r="R396" s="25"/>
      <x:c r="S396" s="25"/>
      <x:c r="T396" s="25"/>
      <x:c r="U396" s="25"/>
      <x:c r="V396" s="25"/>
      <x:c r="W396" s="25"/>
      <x:c r="X396" s="25"/>
      <x:c r="Y396" s="25"/>
      <x:c r="Z396" s="25"/>
    </x:row>
    <x:row r="397">
      <x:c r="A397" s="25"/>
      <x:c r="B397" s="25"/>
      <x:c r="C397" s="25"/>
      <x:c r="D397" s="25"/>
      <x:c r="E397" s="25"/>
      <x:c r="F397" s="25"/>
      <x:c r="G397" s="25"/>
      <x:c r="H397" s="25"/>
      <x:c r="I397" s="25"/>
      <x:c r="J397" s="25"/>
      <x:c r="K397" s="25"/>
      <x:c r="L397" s="25"/>
      <x:c r="M397" s="25"/>
      <x:c r="N397" s="25"/>
      <x:c r="O397" s="25"/>
      <x:c r="P397" s="25"/>
      <x:c r="Q397" s="25"/>
      <x:c r="R397" s="25"/>
      <x:c r="S397" s="25"/>
      <x:c r="T397" s="25"/>
      <x:c r="U397" s="25"/>
      <x:c r="V397" s="25"/>
      <x:c r="W397" s="25"/>
      <x:c r="X397" s="25"/>
      <x:c r="Y397" s="25"/>
      <x:c r="Z397" s="25"/>
    </x:row>
    <x:row r="398">
      <x:c r="A398" s="25"/>
      <x:c r="B398" s="25"/>
      <x:c r="C398" s="25"/>
      <x:c r="D398" s="25"/>
      <x:c r="E398" s="25"/>
      <x:c r="F398" s="25"/>
      <x:c r="G398" s="25"/>
      <x:c r="H398" s="25"/>
      <x:c r="I398" s="25"/>
      <x:c r="J398" s="25"/>
      <x:c r="K398" s="25"/>
      <x:c r="L398" s="25"/>
      <x:c r="M398" s="25"/>
      <x:c r="N398" s="25"/>
      <x:c r="O398" s="25"/>
      <x:c r="P398" s="25"/>
      <x:c r="Q398" s="25"/>
      <x:c r="R398" s="25"/>
      <x:c r="S398" s="25"/>
      <x:c r="T398" s="25"/>
      <x:c r="U398" s="25"/>
      <x:c r="V398" s="25"/>
      <x:c r="W398" s="25"/>
      <x:c r="X398" s="25"/>
      <x:c r="Y398" s="25"/>
      <x:c r="Z398" s="25"/>
    </x:row>
    <x:row r="399">
      <x:c r="A399" s="25"/>
      <x:c r="B399" s="25"/>
      <x:c r="C399" s="25"/>
      <x:c r="D399" s="25"/>
      <x:c r="E399" s="25"/>
      <x:c r="F399" s="25"/>
      <x:c r="G399" s="25"/>
      <x:c r="H399" s="25"/>
      <x:c r="I399" s="25"/>
      <x:c r="J399" s="25"/>
      <x:c r="K399" s="25"/>
      <x:c r="L399" s="25"/>
      <x:c r="M399" s="25"/>
      <x:c r="N399" s="25"/>
      <x:c r="O399" s="25"/>
      <x:c r="P399" s="25"/>
      <x:c r="Q399" s="25"/>
      <x:c r="R399" s="25"/>
      <x:c r="S399" s="25"/>
      <x:c r="T399" s="25"/>
      <x:c r="U399" s="25"/>
      <x:c r="V399" s="25"/>
      <x:c r="W399" s="25"/>
      <x:c r="X399" s="25"/>
      <x:c r="Y399" s="25"/>
      <x:c r="Z399" s="25"/>
    </x:row>
    <x:row r="400">
      <x:c r="A400" s="25"/>
      <x:c r="B400" s="25"/>
      <x:c r="C400" s="25"/>
      <x:c r="D400" s="25"/>
      <x:c r="E400" s="25"/>
      <x:c r="F400" s="25"/>
      <x:c r="G400" s="25"/>
      <x:c r="H400" s="25"/>
      <x:c r="I400" s="25"/>
      <x:c r="J400" s="25"/>
      <x:c r="K400" s="25"/>
      <x:c r="L400" s="25"/>
      <x:c r="M400" s="25"/>
      <x:c r="N400" s="25"/>
      <x:c r="O400" s="25"/>
      <x:c r="P400" s="25"/>
      <x:c r="Q400" s="25"/>
      <x:c r="R400" s="25"/>
      <x:c r="S400" s="25"/>
      <x:c r="T400" s="25"/>
      <x:c r="U400" s="25"/>
      <x:c r="V400" s="25"/>
      <x:c r="W400" s="25"/>
      <x:c r="X400" s="25"/>
      <x:c r="Y400" s="25"/>
      <x:c r="Z400" s="25"/>
    </x:row>
    <x:row r="401">
      <x:c r="A401" s="25"/>
      <x:c r="B401" s="25"/>
      <x:c r="C401" s="25"/>
      <x:c r="D401" s="25"/>
      <x:c r="E401" s="25"/>
      <x:c r="F401" s="25"/>
      <x:c r="G401" s="25"/>
      <x:c r="H401" s="25"/>
      <x:c r="I401" s="25"/>
      <x:c r="J401" s="25"/>
      <x:c r="K401" s="25"/>
      <x:c r="L401" s="25"/>
      <x:c r="M401" s="25"/>
      <x:c r="N401" s="25"/>
      <x:c r="O401" s="25"/>
      <x:c r="P401" s="25"/>
      <x:c r="Q401" s="25"/>
      <x:c r="R401" s="25"/>
      <x:c r="S401" s="25"/>
      <x:c r="T401" s="25"/>
      <x:c r="U401" s="25"/>
      <x:c r="V401" s="25"/>
      <x:c r="W401" s="25"/>
      <x:c r="X401" s="25"/>
      <x:c r="Y401" s="25"/>
      <x:c r="Z401" s="25"/>
    </x:row>
    <x:row r="402">
      <x:c r="A402" s="25"/>
      <x:c r="B402" s="25"/>
      <x:c r="C402" s="25"/>
      <x:c r="D402" s="25"/>
      <x:c r="E402" s="25"/>
      <x:c r="F402" s="25"/>
      <x:c r="G402" s="25"/>
      <x:c r="H402" s="25"/>
      <x:c r="I402" s="25"/>
      <x:c r="J402" s="25"/>
      <x:c r="K402" s="25"/>
      <x:c r="L402" s="25"/>
      <x:c r="M402" s="25"/>
      <x:c r="N402" s="25"/>
      <x:c r="O402" s="25"/>
      <x:c r="P402" s="25"/>
      <x:c r="Q402" s="25"/>
      <x:c r="R402" s="25"/>
      <x:c r="S402" s="25"/>
      <x:c r="T402" s="25"/>
      <x:c r="U402" s="25"/>
      <x:c r="V402" s="25"/>
      <x:c r="W402" s="25"/>
      <x:c r="X402" s="25"/>
      <x:c r="Y402" s="25"/>
      <x:c r="Z402" s="25"/>
    </x:row>
    <x:row r="403">
      <x:c r="A403" s="25"/>
      <x:c r="B403" s="25"/>
      <x:c r="C403" s="25"/>
      <x:c r="D403" s="25"/>
      <x:c r="E403" s="25"/>
      <x:c r="F403" s="25"/>
      <x:c r="G403" s="25"/>
      <x:c r="H403" s="25"/>
      <x:c r="I403" s="25"/>
      <x:c r="J403" s="25"/>
      <x:c r="K403" s="25"/>
      <x:c r="L403" s="25"/>
      <x:c r="M403" s="25"/>
      <x:c r="N403" s="25"/>
      <x:c r="O403" s="25"/>
      <x:c r="P403" s="25"/>
      <x:c r="Q403" s="25"/>
      <x:c r="R403" s="25"/>
      <x:c r="S403" s="25"/>
      <x:c r="T403" s="25"/>
      <x:c r="U403" s="25"/>
      <x:c r="V403" s="25"/>
      <x:c r="W403" s="25"/>
      <x:c r="X403" s="25"/>
      <x:c r="Y403" s="25"/>
      <x:c r="Z403" s="25"/>
    </x:row>
    <x:row r="404">
      <x:c r="A404" s="25"/>
      <x:c r="B404" s="25"/>
      <x:c r="C404" s="25"/>
      <x:c r="D404" s="25"/>
      <x:c r="E404" s="25"/>
      <x:c r="F404" s="25"/>
      <x:c r="G404" s="25"/>
      <x:c r="H404" s="25"/>
      <x:c r="I404" s="25"/>
      <x:c r="J404" s="25"/>
      <x:c r="K404" s="25"/>
      <x:c r="L404" s="25"/>
      <x:c r="M404" s="25"/>
      <x:c r="N404" s="25"/>
      <x:c r="O404" s="25"/>
      <x:c r="P404" s="25"/>
      <x:c r="Q404" s="25"/>
      <x:c r="R404" s="25"/>
      <x:c r="S404" s="25"/>
      <x:c r="T404" s="25"/>
      <x:c r="U404" s="25"/>
      <x:c r="V404" s="25"/>
      <x:c r="W404" s="25"/>
      <x:c r="X404" s="25"/>
      <x:c r="Y404" s="25"/>
      <x:c r="Z404" s="25"/>
    </x:row>
    <x:row r="405">
      <x:c r="A405" s="25"/>
      <x:c r="B405" s="25"/>
      <x:c r="C405" s="25"/>
      <x:c r="D405" s="25"/>
      <x:c r="E405" s="25"/>
      <x:c r="F405" s="25"/>
      <x:c r="G405" s="25"/>
      <x:c r="H405" s="25"/>
      <x:c r="I405" s="25"/>
      <x:c r="J405" s="25"/>
      <x:c r="K405" s="25"/>
      <x:c r="L405" s="25"/>
      <x:c r="M405" s="25"/>
      <x:c r="N405" s="25"/>
      <x:c r="O405" s="25"/>
      <x:c r="P405" s="25"/>
      <x:c r="Q405" s="25"/>
      <x:c r="R405" s="25"/>
      <x:c r="S405" s="25"/>
      <x:c r="T405" s="25"/>
      <x:c r="U405" s="25"/>
      <x:c r="V405" s="25"/>
      <x:c r="W405" s="25"/>
      <x:c r="X405" s="25"/>
      <x:c r="Y405" s="25"/>
      <x:c r="Z405" s="25"/>
    </x:row>
    <x:row r="406">
      <x:c r="A406" s="25"/>
      <x:c r="B406" s="25"/>
      <x:c r="C406" s="25"/>
      <x:c r="D406" s="25"/>
      <x:c r="E406" s="25"/>
      <x:c r="F406" s="25"/>
      <x:c r="G406" s="25"/>
      <x:c r="H406" s="25"/>
      <x:c r="I406" s="25"/>
      <x:c r="J406" s="25"/>
      <x:c r="K406" s="25"/>
      <x:c r="L406" s="25"/>
      <x:c r="M406" s="25"/>
      <x:c r="N406" s="25"/>
      <x:c r="O406" s="25"/>
      <x:c r="P406" s="25"/>
      <x:c r="Q406" s="25"/>
      <x:c r="R406" s="25"/>
      <x:c r="S406" s="25"/>
      <x:c r="T406" s="25"/>
      <x:c r="U406" s="25"/>
      <x:c r="V406" s="25"/>
      <x:c r="W406" s="25"/>
      <x:c r="X406" s="25"/>
      <x:c r="Y406" s="25"/>
      <x:c r="Z406" s="25"/>
    </x:row>
    <x:row r="407">
      <x:c r="A407" s="25"/>
      <x:c r="B407" s="25"/>
      <x:c r="C407" s="25"/>
      <x:c r="D407" s="25"/>
      <x:c r="E407" s="25"/>
      <x:c r="F407" s="25"/>
      <x:c r="G407" s="25"/>
      <x:c r="H407" s="25"/>
      <x:c r="I407" s="25"/>
      <x:c r="J407" s="25"/>
      <x:c r="K407" s="25"/>
      <x:c r="L407" s="25"/>
      <x:c r="M407" s="25"/>
      <x:c r="N407" s="25"/>
      <x:c r="O407" s="25"/>
      <x:c r="P407" s="25"/>
      <x:c r="Q407" s="25"/>
      <x:c r="R407" s="25"/>
      <x:c r="S407" s="25"/>
      <x:c r="T407" s="25"/>
      <x:c r="U407" s="25"/>
      <x:c r="V407" s="25"/>
      <x:c r="W407" s="25"/>
      <x:c r="X407" s="25"/>
      <x:c r="Y407" s="25"/>
      <x:c r="Z407" s="25"/>
    </x:row>
    <x:row r="408">
      <x:c r="A408" s="25"/>
      <x:c r="B408" s="25"/>
      <x:c r="C408" s="25"/>
      <x:c r="D408" s="25"/>
      <x:c r="E408" s="25"/>
      <x:c r="F408" s="25"/>
      <x:c r="G408" s="25"/>
      <x:c r="H408" s="25"/>
      <x:c r="I408" s="25"/>
      <x:c r="J408" s="25"/>
      <x:c r="K408" s="25"/>
      <x:c r="L408" s="25"/>
      <x:c r="M408" s="25"/>
      <x:c r="N408" s="25"/>
      <x:c r="O408" s="25"/>
      <x:c r="P408" s="25"/>
      <x:c r="Q408" s="25"/>
      <x:c r="R408" s="25"/>
      <x:c r="S408" s="25"/>
      <x:c r="T408" s="25"/>
      <x:c r="U408" s="25"/>
      <x:c r="V408" s="25"/>
      <x:c r="W408" s="25"/>
      <x:c r="X408" s="25"/>
      <x:c r="Y408" s="25"/>
      <x:c r="Z408" s="25"/>
    </x:row>
    <x:row r="409">
      <x:c r="A409" s="25"/>
      <x:c r="B409" s="25"/>
      <x:c r="C409" s="25"/>
      <x:c r="D409" s="25"/>
      <x:c r="E409" s="25"/>
      <x:c r="F409" s="25"/>
      <x:c r="G409" s="25"/>
      <x:c r="H409" s="25"/>
      <x:c r="I409" s="25"/>
      <x:c r="J409" s="25"/>
      <x:c r="K409" s="25"/>
      <x:c r="L409" s="25"/>
      <x:c r="M409" s="25"/>
      <x:c r="N409" s="25"/>
      <x:c r="O409" s="25"/>
      <x:c r="P409" s="25"/>
      <x:c r="Q409" s="25"/>
      <x:c r="R409" s="25"/>
      <x:c r="S409" s="25"/>
      <x:c r="T409" s="25"/>
      <x:c r="U409" s="25"/>
      <x:c r="V409" s="25"/>
      <x:c r="W409" s="25"/>
      <x:c r="X409" s="25"/>
      <x:c r="Y409" s="25"/>
      <x:c r="Z409" s="25"/>
    </x:row>
    <x:row r="410">
      <x:c r="A410" s="25"/>
      <x:c r="B410" s="25"/>
      <x:c r="C410" s="25"/>
      <x:c r="D410" s="25"/>
      <x:c r="E410" s="25"/>
      <x:c r="F410" s="25"/>
      <x:c r="G410" s="25"/>
      <x:c r="H410" s="25"/>
      <x:c r="I410" s="25"/>
      <x:c r="J410" s="25"/>
      <x:c r="K410" s="25"/>
      <x:c r="L410" s="25"/>
      <x:c r="M410" s="25"/>
      <x:c r="N410" s="25"/>
      <x:c r="O410" s="25"/>
      <x:c r="P410" s="25"/>
      <x:c r="Q410" s="25"/>
      <x:c r="R410" s="25"/>
      <x:c r="S410" s="25"/>
      <x:c r="T410" s="25"/>
      <x:c r="U410" s="25"/>
      <x:c r="V410" s="25"/>
      <x:c r="W410" s="25"/>
      <x:c r="X410" s="25"/>
      <x:c r="Y410" s="25"/>
      <x:c r="Z410" s="25"/>
    </x:row>
    <x:row r="411">
      <x:c r="A411" s="25"/>
      <x:c r="B411" s="25"/>
      <x:c r="C411" s="25"/>
      <x:c r="D411" s="25"/>
      <x:c r="E411" s="25"/>
      <x:c r="F411" s="25"/>
      <x:c r="G411" s="25"/>
      <x:c r="H411" s="25"/>
      <x:c r="I411" s="25"/>
      <x:c r="J411" s="25"/>
      <x:c r="K411" s="25"/>
      <x:c r="L411" s="25"/>
      <x:c r="M411" s="25"/>
      <x:c r="N411" s="25"/>
      <x:c r="O411" s="25"/>
      <x:c r="P411" s="25"/>
      <x:c r="Q411" s="25"/>
      <x:c r="R411" s="25"/>
      <x:c r="S411" s="25"/>
      <x:c r="T411" s="25"/>
      <x:c r="U411" s="25"/>
      <x:c r="V411" s="25"/>
      <x:c r="W411" s="25"/>
      <x:c r="X411" s="25"/>
      <x:c r="Y411" s="25"/>
      <x:c r="Z411" s="25"/>
    </x:row>
    <x:row r="412">
      <x:c r="A412" s="25"/>
      <x:c r="B412" s="25"/>
      <x:c r="C412" s="25"/>
      <x:c r="D412" s="25"/>
      <x:c r="E412" s="25"/>
      <x:c r="F412" s="25"/>
      <x:c r="G412" s="25"/>
      <x:c r="H412" s="25"/>
      <x:c r="I412" s="25"/>
      <x:c r="J412" s="25"/>
      <x:c r="K412" s="25"/>
      <x:c r="L412" s="25"/>
      <x:c r="M412" s="25"/>
      <x:c r="N412" s="25"/>
      <x:c r="O412" s="25"/>
      <x:c r="P412" s="25"/>
      <x:c r="Q412" s="25"/>
      <x:c r="R412" s="25"/>
      <x:c r="S412" s="25"/>
      <x:c r="T412" s="25"/>
      <x:c r="U412" s="25"/>
      <x:c r="V412" s="25"/>
      <x:c r="W412" s="25"/>
      <x:c r="X412" s="25"/>
      <x:c r="Y412" s="25"/>
      <x:c r="Z412" s="25"/>
    </x:row>
    <x:row r="413">
      <x:c r="A413" s="25"/>
      <x:c r="B413" s="25"/>
      <x:c r="C413" s="25"/>
      <x:c r="D413" s="25"/>
      <x:c r="E413" s="25"/>
      <x:c r="F413" s="25"/>
      <x:c r="G413" s="25"/>
      <x:c r="H413" s="25"/>
      <x:c r="I413" s="25"/>
      <x:c r="J413" s="25"/>
      <x:c r="K413" s="25"/>
      <x:c r="L413" s="25"/>
      <x:c r="M413" s="25"/>
      <x:c r="N413" s="25"/>
      <x:c r="O413" s="25"/>
      <x:c r="P413" s="25"/>
      <x:c r="Q413" s="25"/>
      <x:c r="R413" s="25"/>
      <x:c r="S413" s="25"/>
      <x:c r="T413" s="25"/>
      <x:c r="U413" s="25"/>
      <x:c r="V413" s="25"/>
      <x:c r="W413" s="25"/>
      <x:c r="X413" s="25"/>
      <x:c r="Y413" s="25"/>
      <x:c r="Z413" s="25"/>
    </x:row>
    <x:row r="414">
      <x:c r="A414" s="25"/>
      <x:c r="B414" s="25"/>
      <x:c r="C414" s="25"/>
      <x:c r="D414" s="25"/>
      <x:c r="E414" s="25"/>
      <x:c r="F414" s="25"/>
      <x:c r="G414" s="25"/>
      <x:c r="H414" s="25"/>
      <x:c r="I414" s="25"/>
      <x:c r="J414" s="25"/>
      <x:c r="K414" s="25"/>
      <x:c r="L414" s="25"/>
      <x:c r="M414" s="25"/>
      <x:c r="N414" s="25"/>
      <x:c r="O414" s="25"/>
      <x:c r="P414" s="25"/>
      <x:c r="Q414" s="25"/>
      <x:c r="R414" s="25"/>
      <x:c r="S414" s="25"/>
      <x:c r="T414" s="25"/>
      <x:c r="U414" s="25"/>
      <x:c r="V414" s="25"/>
      <x:c r="W414" s="25"/>
      <x:c r="X414" s="25"/>
      <x:c r="Y414" s="25"/>
      <x:c r="Z414" s="25"/>
    </x:row>
    <x:row r="415">
      <x:c r="A415" s="25"/>
      <x:c r="B415" s="25"/>
      <x:c r="C415" s="25"/>
      <x:c r="D415" s="25"/>
      <x:c r="E415" s="25"/>
      <x:c r="F415" s="25"/>
      <x:c r="G415" s="25"/>
      <x:c r="H415" s="25"/>
      <x:c r="I415" s="25"/>
      <x:c r="J415" s="25"/>
      <x:c r="K415" s="25"/>
      <x:c r="L415" s="25"/>
      <x:c r="M415" s="25"/>
      <x:c r="N415" s="25"/>
      <x:c r="O415" s="25"/>
      <x:c r="P415" s="25"/>
      <x:c r="Q415" s="25"/>
      <x:c r="R415" s="25"/>
      <x:c r="S415" s="25"/>
      <x:c r="T415" s="25"/>
      <x:c r="U415" s="25"/>
      <x:c r="V415" s="25"/>
      <x:c r="W415" s="25"/>
      <x:c r="X415" s="25"/>
      <x:c r="Y415" s="25"/>
      <x:c r="Z415" s="25"/>
    </x:row>
    <x:row r="416">
      <x:c r="A416" s="25"/>
      <x:c r="B416" s="25"/>
      <x:c r="C416" s="25"/>
      <x:c r="D416" s="25"/>
      <x:c r="E416" s="25"/>
      <x:c r="F416" s="25"/>
      <x:c r="G416" s="25"/>
      <x:c r="H416" s="25"/>
      <x:c r="I416" s="25"/>
      <x:c r="J416" s="25"/>
      <x:c r="K416" s="25"/>
      <x:c r="L416" s="25"/>
      <x:c r="M416" s="25"/>
      <x:c r="N416" s="25"/>
      <x:c r="O416" s="25"/>
      <x:c r="P416" s="25"/>
      <x:c r="Q416" s="25"/>
      <x:c r="R416" s="25"/>
      <x:c r="S416" s="25"/>
      <x:c r="T416" s="25"/>
      <x:c r="U416" s="25"/>
      <x:c r="V416" s="25"/>
      <x:c r="W416" s="25"/>
      <x:c r="X416" s="25"/>
      <x:c r="Y416" s="25"/>
      <x:c r="Z416" s="25"/>
    </x:row>
    <x:row r="417">
      <x:c r="A417" s="25"/>
      <x:c r="B417" s="25"/>
      <x:c r="C417" s="25"/>
      <x:c r="D417" s="25"/>
      <x:c r="E417" s="25"/>
      <x:c r="F417" s="25"/>
      <x:c r="G417" s="25"/>
      <x:c r="H417" s="25"/>
      <x:c r="I417" s="25"/>
      <x:c r="J417" s="25"/>
      <x:c r="K417" s="25"/>
      <x:c r="L417" s="25"/>
      <x:c r="M417" s="25"/>
      <x:c r="N417" s="25"/>
      <x:c r="O417" s="25"/>
      <x:c r="P417" s="25"/>
      <x:c r="Q417" s="25"/>
      <x:c r="R417" s="25"/>
      <x:c r="S417" s="25"/>
      <x:c r="T417" s="25"/>
      <x:c r="U417" s="25"/>
      <x:c r="V417" s="25"/>
      <x:c r="W417" s="25"/>
      <x:c r="X417" s="25"/>
      <x:c r="Y417" s="25"/>
      <x:c r="Z417" s="25"/>
    </x:row>
    <x:row r="418">
      <x:c r="A418" s="25"/>
      <x:c r="B418" s="25"/>
      <x:c r="C418" s="25"/>
      <x:c r="D418" s="25"/>
      <x:c r="E418" s="25"/>
      <x:c r="F418" s="25"/>
      <x:c r="G418" s="25"/>
      <x:c r="H418" s="25"/>
      <x:c r="I418" s="25"/>
      <x:c r="J418" s="25"/>
      <x:c r="K418" s="25"/>
      <x:c r="L418" s="25"/>
      <x:c r="M418" s="25"/>
      <x:c r="N418" s="25"/>
      <x:c r="O418" s="25"/>
      <x:c r="P418" s="25"/>
      <x:c r="Q418" s="25"/>
      <x:c r="R418" s="25"/>
      <x:c r="S418" s="25"/>
      <x:c r="T418" s="25"/>
      <x:c r="U418" s="25"/>
      <x:c r="V418" s="25"/>
      <x:c r="W418" s="25"/>
      <x:c r="X418" s="25"/>
      <x:c r="Y418" s="25"/>
      <x:c r="Z418" s="25"/>
    </x:row>
    <x:row r="419">
      <x:c r="A419" s="25"/>
      <x:c r="B419" s="25"/>
      <x:c r="C419" s="25"/>
      <x:c r="D419" s="25"/>
      <x:c r="E419" s="25"/>
      <x:c r="F419" s="25"/>
      <x:c r="G419" s="25"/>
      <x:c r="H419" s="25"/>
      <x:c r="I419" s="25"/>
      <x:c r="J419" s="25"/>
      <x:c r="K419" s="25"/>
      <x:c r="L419" s="25"/>
      <x:c r="M419" s="25"/>
      <x:c r="N419" s="25"/>
      <x:c r="O419" s="25"/>
      <x:c r="P419" s="25"/>
      <x:c r="Q419" s="25"/>
      <x:c r="R419" s="25"/>
      <x:c r="S419" s="25"/>
      <x:c r="T419" s="25"/>
      <x:c r="U419" s="25"/>
      <x:c r="V419" s="25"/>
      <x:c r="W419" s="25"/>
      <x:c r="X419" s="25"/>
      <x:c r="Y419" s="25"/>
      <x:c r="Z419" s="25"/>
    </x:row>
    <x:row r="420">
      <x:c r="A420" s="25"/>
      <x:c r="B420" s="25"/>
      <x:c r="C420" s="25"/>
      <x:c r="D420" s="25"/>
      <x:c r="E420" s="25"/>
      <x:c r="F420" s="25"/>
      <x:c r="G420" s="25"/>
      <x:c r="H420" s="25"/>
      <x:c r="I420" s="25"/>
      <x:c r="J420" s="25"/>
      <x:c r="K420" s="25"/>
      <x:c r="L420" s="25"/>
      <x:c r="M420" s="25"/>
      <x:c r="N420" s="25"/>
      <x:c r="O420" s="25"/>
      <x:c r="P420" s="25"/>
      <x:c r="Q420" s="25"/>
      <x:c r="R420" s="25"/>
      <x:c r="S420" s="25"/>
      <x:c r="T420" s="25"/>
      <x:c r="U420" s="25"/>
      <x:c r="V420" s="25"/>
      <x:c r="W420" s="25"/>
      <x:c r="X420" s="25"/>
      <x:c r="Y420" s="25"/>
      <x:c r="Z420" s="25"/>
    </x:row>
    <x:row r="421">
      <x:c r="A421" s="25"/>
      <x:c r="B421" s="25"/>
      <x:c r="C421" s="25"/>
      <x:c r="D421" s="25"/>
      <x:c r="E421" s="25"/>
      <x:c r="F421" s="25"/>
      <x:c r="G421" s="25"/>
      <x:c r="H421" s="25"/>
      <x:c r="I421" s="25"/>
      <x:c r="J421" s="25"/>
      <x:c r="K421" s="25"/>
      <x:c r="L421" s="25"/>
      <x:c r="M421" s="25"/>
      <x:c r="N421" s="25"/>
      <x:c r="O421" s="25"/>
      <x:c r="P421" s="25"/>
      <x:c r="Q421" s="25"/>
      <x:c r="R421" s="25"/>
      <x:c r="S421" s="25"/>
      <x:c r="T421" s="25"/>
      <x:c r="U421" s="25"/>
      <x:c r="V421" s="25"/>
      <x:c r="W421" s="25"/>
      <x:c r="X421" s="25"/>
      <x:c r="Y421" s="25"/>
      <x:c r="Z421" s="25"/>
    </x:row>
    <x:row r="422">
      <x:c r="A422" s="25"/>
      <x:c r="B422" s="25"/>
      <x:c r="C422" s="25"/>
      <x:c r="D422" s="25"/>
      <x:c r="E422" s="25"/>
      <x:c r="F422" s="25"/>
      <x:c r="G422" s="25"/>
      <x:c r="H422" s="25"/>
      <x:c r="I422" s="25"/>
      <x:c r="J422" s="25"/>
      <x:c r="K422" s="25"/>
      <x:c r="L422" s="25"/>
      <x:c r="M422" s="25"/>
      <x:c r="N422" s="25"/>
      <x:c r="O422" s="25"/>
      <x:c r="P422" s="25"/>
      <x:c r="Q422" s="25"/>
      <x:c r="R422" s="25"/>
      <x:c r="S422" s="25"/>
      <x:c r="T422" s="25"/>
      <x:c r="U422" s="25"/>
      <x:c r="V422" s="25"/>
      <x:c r="W422" s="25"/>
      <x:c r="X422" s="25"/>
      <x:c r="Y422" s="25"/>
      <x:c r="Z422" s="25"/>
    </x:row>
    <x:row r="423">
      <x:c r="A423" s="25"/>
      <x:c r="B423" s="25"/>
      <x:c r="C423" s="25"/>
      <x:c r="D423" s="25"/>
      <x:c r="E423" s="25"/>
      <x:c r="F423" s="25"/>
      <x:c r="G423" s="25"/>
      <x:c r="H423" s="25"/>
      <x:c r="I423" s="25"/>
      <x:c r="J423" s="25"/>
      <x:c r="K423" s="25"/>
      <x:c r="L423" s="25"/>
      <x:c r="M423" s="25"/>
      <x:c r="N423" s="25"/>
      <x:c r="O423" s="25"/>
      <x:c r="P423" s="25"/>
      <x:c r="Q423" s="25"/>
      <x:c r="R423" s="25"/>
      <x:c r="S423" s="25"/>
      <x:c r="T423" s="25"/>
      <x:c r="U423" s="25"/>
      <x:c r="V423" s="25"/>
      <x:c r="W423" s="25"/>
      <x:c r="X423" s="25"/>
      <x:c r="Y423" s="25"/>
      <x:c r="Z423" s="25"/>
    </x:row>
    <x:row r="424">
      <x:c r="A424" s="25"/>
      <x:c r="B424" s="25"/>
      <x:c r="C424" s="25"/>
      <x:c r="D424" s="25"/>
      <x:c r="E424" s="25"/>
      <x:c r="F424" s="25"/>
      <x:c r="G424" s="25"/>
      <x:c r="H424" s="25"/>
      <x:c r="I424" s="25"/>
      <x:c r="J424" s="25"/>
      <x:c r="K424" s="25"/>
      <x:c r="L424" s="25"/>
      <x:c r="M424" s="25"/>
      <x:c r="N424" s="25"/>
      <x:c r="O424" s="25"/>
      <x:c r="P424" s="25"/>
      <x:c r="Q424" s="25"/>
      <x:c r="R424" s="25"/>
      <x:c r="S424" s="25"/>
      <x:c r="T424" s="25"/>
      <x:c r="U424" s="25"/>
      <x:c r="V424" s="25"/>
      <x:c r="W424" s="25"/>
      <x:c r="X424" s="25"/>
      <x:c r="Y424" s="25"/>
      <x:c r="Z424" s="25"/>
    </x:row>
    <x:row r="425">
      <x:c r="A425" s="25"/>
      <x:c r="B425" s="25"/>
      <x:c r="C425" s="25"/>
      <x:c r="D425" s="25"/>
      <x:c r="E425" s="25"/>
      <x:c r="F425" s="25"/>
      <x:c r="G425" s="25"/>
      <x:c r="H425" s="25"/>
      <x:c r="I425" s="25"/>
      <x:c r="J425" s="25"/>
      <x:c r="K425" s="25"/>
      <x:c r="L425" s="25"/>
      <x:c r="M425" s="25"/>
      <x:c r="N425" s="25"/>
      <x:c r="O425" s="25"/>
      <x:c r="P425" s="25"/>
      <x:c r="Q425" s="25"/>
      <x:c r="R425" s="25"/>
      <x:c r="S425" s="25"/>
      <x:c r="T425" s="25"/>
      <x:c r="U425" s="25"/>
      <x:c r="V425" s="25"/>
      <x:c r="W425" s="25"/>
      <x:c r="X425" s="25"/>
      <x:c r="Y425" s="25"/>
      <x:c r="Z425" s="25"/>
    </x:row>
    <x:row r="426">
      <x:c r="A426" s="25"/>
      <x:c r="B426" s="25"/>
      <x:c r="C426" s="25"/>
      <x:c r="D426" s="25"/>
      <x:c r="E426" s="25"/>
      <x:c r="F426" s="25"/>
      <x:c r="G426" s="25"/>
      <x:c r="H426" s="25"/>
      <x:c r="I426" s="25"/>
      <x:c r="J426" s="25"/>
      <x:c r="K426" s="25"/>
      <x:c r="L426" s="25"/>
      <x:c r="M426" s="25"/>
      <x:c r="N426" s="25"/>
      <x:c r="O426" s="25"/>
      <x:c r="P426" s="25"/>
      <x:c r="Q426" s="25"/>
      <x:c r="R426" s="25"/>
      <x:c r="S426" s="25"/>
      <x:c r="T426" s="25"/>
      <x:c r="U426" s="25"/>
      <x:c r="V426" s="25"/>
      <x:c r="W426" s="25"/>
      <x:c r="X426" s="25"/>
      <x:c r="Y426" s="25"/>
      <x:c r="Z426" s="25"/>
    </x:row>
    <x:row r="427">
      <x:c r="A427" s="25"/>
      <x:c r="B427" s="25"/>
      <x:c r="C427" s="25"/>
      <x:c r="D427" s="25"/>
      <x:c r="E427" s="25"/>
      <x:c r="F427" s="25"/>
      <x:c r="G427" s="25"/>
      <x:c r="H427" s="25"/>
      <x:c r="I427" s="25"/>
      <x:c r="J427" s="25"/>
      <x:c r="K427" s="25"/>
      <x:c r="L427" s="25"/>
      <x:c r="M427" s="25"/>
      <x:c r="N427" s="25"/>
      <x:c r="O427" s="25"/>
      <x:c r="P427" s="25"/>
      <x:c r="Q427" s="25"/>
      <x:c r="R427" s="25"/>
      <x:c r="S427" s="25"/>
      <x:c r="T427" s="25"/>
      <x:c r="U427" s="25"/>
      <x:c r="V427" s="25"/>
      <x:c r="W427" s="25"/>
      <x:c r="X427" s="25"/>
      <x:c r="Y427" s="25"/>
      <x:c r="Z427" s="25"/>
    </x:row>
    <x:row r="428">
      <x:c r="A428" s="25"/>
      <x:c r="B428" s="25"/>
      <x:c r="C428" s="25"/>
      <x:c r="D428" s="25"/>
      <x:c r="E428" s="25"/>
      <x:c r="F428" s="25"/>
      <x:c r="G428" s="25"/>
      <x:c r="H428" s="25"/>
      <x:c r="I428" s="25"/>
      <x:c r="J428" s="25"/>
      <x:c r="K428" s="25"/>
      <x:c r="L428" s="25"/>
      <x:c r="M428" s="25"/>
      <x:c r="N428" s="25"/>
      <x:c r="O428" s="25"/>
      <x:c r="P428" s="25"/>
      <x:c r="Q428" s="25"/>
      <x:c r="R428" s="25"/>
      <x:c r="S428" s="25"/>
      <x:c r="T428" s="25"/>
      <x:c r="U428" s="25"/>
      <x:c r="V428" s="25"/>
      <x:c r="W428" s="25"/>
      <x:c r="X428" s="25"/>
      <x:c r="Y428" s="25"/>
      <x:c r="Z428" s="25"/>
    </x:row>
    <x:row r="429">
      <x:c r="A429" s="25"/>
      <x:c r="B429" s="25"/>
      <x:c r="C429" s="25"/>
      <x:c r="D429" s="25"/>
      <x:c r="E429" s="25"/>
      <x:c r="F429" s="25"/>
      <x:c r="G429" s="25"/>
      <x:c r="H429" s="25"/>
      <x:c r="I429" s="25"/>
      <x:c r="J429" s="25"/>
      <x:c r="K429" s="25"/>
      <x:c r="L429" s="25"/>
      <x:c r="M429" s="25"/>
      <x:c r="N429" s="25"/>
      <x:c r="O429" s="25"/>
      <x:c r="P429" s="25"/>
      <x:c r="Q429" s="25"/>
      <x:c r="R429" s="25"/>
      <x:c r="S429" s="25"/>
      <x:c r="T429" s="25"/>
      <x:c r="U429" s="25"/>
      <x:c r="V429" s="25"/>
      <x:c r="W429" s="25"/>
      <x:c r="X429" s="25"/>
      <x:c r="Y429" s="25"/>
      <x:c r="Z429" s="25"/>
    </x:row>
    <x:row r="430">
      <x:c r="A430" s="25"/>
      <x:c r="B430" s="25"/>
      <x:c r="C430" s="25"/>
      <x:c r="D430" s="25"/>
      <x:c r="E430" s="25"/>
      <x:c r="F430" s="25"/>
      <x:c r="G430" s="25"/>
      <x:c r="H430" s="25"/>
      <x:c r="I430" s="25"/>
      <x:c r="J430" s="25"/>
      <x:c r="K430" s="25"/>
      <x:c r="L430" s="25"/>
      <x:c r="M430" s="25"/>
      <x:c r="N430" s="25"/>
      <x:c r="O430" s="25"/>
      <x:c r="P430" s="25"/>
      <x:c r="Q430" s="25"/>
      <x:c r="R430" s="25"/>
      <x:c r="S430" s="25"/>
      <x:c r="T430" s="25"/>
      <x:c r="U430" s="25"/>
      <x:c r="V430" s="25"/>
      <x:c r="W430" s="25"/>
      <x:c r="X430" s="25"/>
      <x:c r="Y430" s="25"/>
      <x:c r="Z430" s="25"/>
    </x:row>
    <x:row r="431">
      <x:c r="A431" s="25"/>
      <x:c r="B431" s="25"/>
      <x:c r="C431" s="25"/>
      <x:c r="D431" s="25"/>
      <x:c r="E431" s="25"/>
      <x:c r="F431" s="25"/>
      <x:c r="G431" s="25"/>
      <x:c r="H431" s="25"/>
      <x:c r="I431" s="25"/>
      <x:c r="J431" s="25"/>
      <x:c r="K431" s="25"/>
      <x:c r="L431" s="25"/>
      <x:c r="M431" s="25"/>
      <x:c r="N431" s="25"/>
      <x:c r="O431" s="25"/>
      <x:c r="P431" s="25"/>
      <x:c r="Q431" s="25"/>
      <x:c r="R431" s="25"/>
      <x:c r="S431" s="25"/>
      <x:c r="T431" s="25"/>
      <x:c r="U431" s="25"/>
      <x:c r="V431" s="25"/>
      <x:c r="W431" s="25"/>
      <x:c r="X431" s="25"/>
      <x:c r="Y431" s="25"/>
      <x:c r="Z431" s="25"/>
    </x:row>
    <x:row r="432">
      <x:c r="A432" s="25"/>
      <x:c r="B432" s="25"/>
      <x:c r="C432" s="25"/>
      <x:c r="D432" s="25"/>
      <x:c r="E432" s="25"/>
      <x:c r="F432" s="25"/>
      <x:c r="G432" s="25"/>
      <x:c r="H432" s="25"/>
      <x:c r="I432" s="25"/>
      <x:c r="J432" s="25"/>
      <x:c r="K432" s="25"/>
      <x:c r="L432" s="25"/>
      <x:c r="M432" s="25"/>
      <x:c r="N432" s="25"/>
      <x:c r="O432" s="25"/>
      <x:c r="P432" s="25"/>
      <x:c r="Q432" s="25"/>
      <x:c r="R432" s="25"/>
      <x:c r="S432" s="25"/>
      <x:c r="T432" s="25"/>
      <x:c r="U432" s="25"/>
      <x:c r="V432" s="25"/>
      <x:c r="W432" s="25"/>
      <x:c r="X432" s="25"/>
      <x:c r="Y432" s="25"/>
      <x:c r="Z432" s="25"/>
    </x:row>
    <x:row r="433">
      <x:c r="A433" s="25"/>
      <x:c r="B433" s="25"/>
      <x:c r="C433" s="25"/>
      <x:c r="D433" s="25"/>
      <x:c r="E433" s="25"/>
      <x:c r="F433" s="25"/>
      <x:c r="G433" s="25"/>
      <x:c r="H433" s="25"/>
      <x:c r="I433" s="25"/>
      <x:c r="J433" s="25"/>
      <x:c r="K433" s="25"/>
      <x:c r="L433" s="25"/>
      <x:c r="M433" s="25"/>
      <x:c r="N433" s="25"/>
      <x:c r="O433" s="25"/>
      <x:c r="P433" s="25"/>
      <x:c r="Q433" s="25"/>
      <x:c r="R433" s="25"/>
      <x:c r="S433" s="25"/>
      <x:c r="T433" s="25"/>
      <x:c r="U433" s="25"/>
      <x:c r="V433" s="25"/>
      <x:c r="W433" s="25"/>
      <x:c r="X433" s="25"/>
      <x:c r="Y433" s="25"/>
      <x:c r="Z433" s="25"/>
    </x:row>
    <x:row r="434">
      <x:c r="A434" s="25"/>
      <x:c r="B434" s="25"/>
      <x:c r="C434" s="25"/>
      <x:c r="D434" s="25"/>
      <x:c r="E434" s="25"/>
      <x:c r="F434" s="25"/>
      <x:c r="G434" s="25"/>
      <x:c r="H434" s="25"/>
      <x:c r="I434" s="25"/>
      <x:c r="J434" s="25"/>
      <x:c r="K434" s="25"/>
      <x:c r="L434" s="25"/>
      <x:c r="M434" s="25"/>
      <x:c r="N434" s="25"/>
      <x:c r="O434" s="25"/>
      <x:c r="P434" s="25"/>
      <x:c r="Q434" s="25"/>
      <x:c r="R434" s="25"/>
      <x:c r="S434" s="25"/>
      <x:c r="T434" s="25"/>
      <x:c r="U434" s="25"/>
      <x:c r="V434" s="25"/>
      <x:c r="W434" s="25"/>
      <x:c r="X434" s="25"/>
      <x:c r="Y434" s="25"/>
      <x:c r="Z434" s="25"/>
    </x:row>
    <x:row r="435">
      <x:c r="A435" s="25"/>
      <x:c r="B435" s="25"/>
      <x:c r="C435" s="25"/>
      <x:c r="D435" s="25"/>
      <x:c r="E435" s="25"/>
      <x:c r="F435" s="25"/>
      <x:c r="G435" s="25"/>
      <x:c r="H435" s="25"/>
      <x:c r="I435" s="25"/>
      <x:c r="J435" s="25"/>
      <x:c r="K435" s="25"/>
      <x:c r="L435" s="25"/>
      <x:c r="M435" s="25"/>
      <x:c r="N435" s="25"/>
      <x:c r="O435" s="25"/>
      <x:c r="P435" s="25"/>
      <x:c r="Q435" s="25"/>
      <x:c r="R435" s="25"/>
      <x:c r="S435" s="25"/>
      <x:c r="T435" s="25"/>
      <x:c r="U435" s="25"/>
      <x:c r="V435" s="25"/>
      <x:c r="W435" s="25"/>
      <x:c r="X435" s="25"/>
      <x:c r="Y435" s="25"/>
      <x:c r="Z435" s="25"/>
    </x:row>
    <x:row r="436">
      <x:c r="A436" s="25"/>
      <x:c r="B436" s="25"/>
      <x:c r="C436" s="25"/>
      <x:c r="D436" s="25"/>
      <x:c r="E436" s="25"/>
      <x:c r="F436" s="25"/>
      <x:c r="G436" s="25"/>
      <x:c r="H436" s="25"/>
      <x:c r="I436" s="25"/>
      <x:c r="J436" s="25"/>
      <x:c r="K436" s="25"/>
      <x:c r="L436" s="25"/>
      <x:c r="M436" s="25"/>
      <x:c r="N436" s="25"/>
      <x:c r="O436" s="25"/>
      <x:c r="P436" s="25"/>
      <x:c r="Q436" s="25"/>
      <x:c r="R436" s="25"/>
      <x:c r="S436" s="25"/>
      <x:c r="T436" s="25"/>
      <x:c r="U436" s="25"/>
      <x:c r="V436" s="25"/>
      <x:c r="W436" s="25"/>
      <x:c r="X436" s="25"/>
      <x:c r="Y436" s="25"/>
      <x:c r="Z436" s="25"/>
    </x:row>
    <x:row r="437">
      <x:c r="A437" s="25"/>
      <x:c r="B437" s="25"/>
      <x:c r="C437" s="25"/>
      <x:c r="D437" s="25"/>
      <x:c r="E437" s="25"/>
      <x:c r="F437" s="25"/>
      <x:c r="G437" s="25"/>
      <x:c r="H437" s="25"/>
      <x:c r="I437" s="25"/>
      <x:c r="J437" s="25"/>
      <x:c r="K437" s="25"/>
      <x:c r="L437" s="25"/>
      <x:c r="M437" s="25"/>
      <x:c r="N437" s="25"/>
      <x:c r="O437" s="25"/>
      <x:c r="P437" s="25"/>
      <x:c r="Q437" s="25"/>
      <x:c r="R437" s="25"/>
      <x:c r="S437" s="25"/>
      <x:c r="T437" s="25"/>
      <x:c r="U437" s="25"/>
      <x:c r="V437" s="25"/>
      <x:c r="W437" s="25"/>
      <x:c r="X437" s="25"/>
      <x:c r="Y437" s="25"/>
      <x:c r="Z437" s="25"/>
    </x:row>
    <x:row r="438">
      <x:c r="A438" s="25"/>
      <x:c r="B438" s="25"/>
      <x:c r="C438" s="25"/>
      <x:c r="D438" s="25"/>
      <x:c r="E438" s="25"/>
      <x:c r="F438" s="25"/>
      <x:c r="G438" s="25"/>
      <x:c r="H438" s="25"/>
      <x:c r="I438" s="25"/>
      <x:c r="J438" s="25"/>
      <x:c r="K438" s="25"/>
      <x:c r="L438" s="25"/>
      <x:c r="M438" s="25"/>
      <x:c r="N438" s="25"/>
      <x:c r="O438" s="25"/>
      <x:c r="P438" s="25"/>
      <x:c r="Q438" s="25"/>
      <x:c r="R438" s="25"/>
      <x:c r="S438" s="25"/>
      <x:c r="T438" s="25"/>
      <x:c r="U438" s="25"/>
      <x:c r="V438" s="25"/>
      <x:c r="W438" s="25"/>
      <x:c r="X438" s="25"/>
      <x:c r="Y438" s="25"/>
      <x:c r="Z438" s="25"/>
    </x:row>
    <x:row r="439">
      <x:c r="A439" s="25"/>
      <x:c r="B439" s="25"/>
      <x:c r="C439" s="25"/>
      <x:c r="D439" s="25"/>
      <x:c r="E439" s="25"/>
      <x:c r="F439" s="25"/>
      <x:c r="G439" s="25"/>
      <x:c r="H439" s="25"/>
      <x:c r="I439" s="25"/>
      <x:c r="J439" s="25"/>
      <x:c r="K439" s="25"/>
      <x:c r="L439" s="25"/>
      <x:c r="M439" s="25"/>
      <x:c r="N439" s="25"/>
      <x:c r="O439" s="25"/>
      <x:c r="P439" s="25"/>
      <x:c r="Q439" s="25"/>
      <x:c r="R439" s="25"/>
      <x:c r="S439" s="25"/>
      <x:c r="T439" s="25"/>
      <x:c r="U439" s="25"/>
      <x:c r="V439" s="25"/>
      <x:c r="W439" s="25"/>
      <x:c r="X439" s="25"/>
      <x:c r="Y439" s="25"/>
      <x:c r="Z439" s="25"/>
    </x:row>
    <x:row r="440">
      <x:c r="A440" s="25"/>
      <x:c r="B440" s="25"/>
      <x:c r="C440" s="25"/>
      <x:c r="D440" s="25"/>
      <x:c r="E440" s="25"/>
      <x:c r="F440" s="25"/>
      <x:c r="G440" s="25"/>
      <x:c r="H440" s="25"/>
      <x:c r="I440" s="25"/>
      <x:c r="J440" s="25"/>
      <x:c r="K440" s="25"/>
      <x:c r="L440" s="25"/>
      <x:c r="M440" s="25"/>
      <x:c r="N440" s="25"/>
      <x:c r="O440" s="25"/>
      <x:c r="P440" s="25"/>
      <x:c r="Q440" s="25"/>
      <x:c r="R440" s="25"/>
      <x:c r="S440" s="25"/>
      <x:c r="T440" s="25"/>
      <x:c r="U440" s="25"/>
      <x:c r="V440" s="25"/>
      <x:c r="W440" s="25"/>
      <x:c r="X440" s="25"/>
      <x:c r="Y440" s="25"/>
      <x:c r="Z440" s="25"/>
    </x:row>
    <x:row r="441">
      <x:c r="A441" s="25"/>
      <x:c r="B441" s="25"/>
      <x:c r="C441" s="25"/>
      <x:c r="D441" s="25"/>
      <x:c r="E441" s="25"/>
      <x:c r="F441" s="25"/>
      <x:c r="G441" s="25"/>
      <x:c r="H441" s="25"/>
      <x:c r="I441" s="25"/>
      <x:c r="J441" s="25"/>
      <x:c r="K441" s="25"/>
      <x:c r="L441" s="25"/>
      <x:c r="M441" s="25"/>
      <x:c r="N441" s="25"/>
      <x:c r="O441" s="25"/>
      <x:c r="P441" s="25"/>
      <x:c r="Q441" s="25"/>
      <x:c r="R441" s="25"/>
      <x:c r="S441" s="25"/>
      <x:c r="T441" s="25"/>
      <x:c r="U441" s="25"/>
      <x:c r="V441" s="25"/>
      <x:c r="W441" s="25"/>
      <x:c r="X441" s="25"/>
      <x:c r="Y441" s="25"/>
      <x:c r="Z441" s="25"/>
    </x:row>
    <x:row r="442">
      <x:c r="A442" s="25"/>
      <x:c r="B442" s="25"/>
      <x:c r="C442" s="25"/>
      <x:c r="D442" s="25"/>
      <x:c r="E442" s="25"/>
      <x:c r="F442" s="25"/>
      <x:c r="G442" s="25"/>
      <x:c r="H442" s="25"/>
      <x:c r="I442" s="25"/>
      <x:c r="J442" s="25"/>
      <x:c r="K442" s="25"/>
      <x:c r="L442" s="25"/>
      <x:c r="M442" s="25"/>
      <x:c r="N442" s="25"/>
      <x:c r="O442" s="25"/>
      <x:c r="P442" s="25"/>
      <x:c r="Q442" s="25"/>
      <x:c r="R442" s="25"/>
      <x:c r="S442" s="25"/>
      <x:c r="T442" s="25"/>
      <x:c r="U442" s="25"/>
      <x:c r="V442" s="25"/>
      <x:c r="W442" s="25"/>
      <x:c r="X442" s="25"/>
      <x:c r="Y442" s="25"/>
      <x:c r="Z442" s="25"/>
    </x:row>
    <x:row r="443">
      <x:c r="A443" s="25"/>
      <x:c r="B443" s="25"/>
      <x:c r="C443" s="25"/>
      <x:c r="D443" s="25"/>
      <x:c r="E443" s="25"/>
      <x:c r="F443" s="25"/>
      <x:c r="G443" s="25"/>
      <x:c r="H443" s="25"/>
      <x:c r="I443" s="25"/>
      <x:c r="J443" s="25"/>
      <x:c r="K443" s="25"/>
      <x:c r="L443" s="25"/>
      <x:c r="M443" s="25"/>
      <x:c r="N443" s="25"/>
      <x:c r="O443" s="25"/>
      <x:c r="P443" s="25"/>
      <x:c r="Q443" s="25"/>
      <x:c r="R443" s="25"/>
      <x:c r="S443" s="25"/>
      <x:c r="T443" s="25"/>
      <x:c r="U443" s="25"/>
      <x:c r="V443" s="25"/>
      <x:c r="W443" s="25"/>
      <x:c r="X443" s="25"/>
      <x:c r="Y443" s="25"/>
      <x:c r="Z443" s="25"/>
    </x:row>
    <x:row r="444">
      <x:c r="A444" s="25"/>
      <x:c r="B444" s="25"/>
      <x:c r="C444" s="25"/>
      <x:c r="D444" s="25"/>
      <x:c r="E444" s="25"/>
      <x:c r="F444" s="25"/>
      <x:c r="G444" s="25"/>
      <x:c r="H444" s="25"/>
      <x:c r="I444" s="25"/>
      <x:c r="J444" s="25"/>
      <x:c r="K444" s="25"/>
      <x:c r="L444" s="25"/>
      <x:c r="M444" s="25"/>
      <x:c r="N444" s="25"/>
      <x:c r="O444" s="25"/>
      <x:c r="P444" s="25"/>
      <x:c r="Q444" s="25"/>
      <x:c r="R444" s="25"/>
      <x:c r="S444" s="25"/>
      <x:c r="T444" s="25"/>
      <x:c r="U444" s="25"/>
      <x:c r="V444" s="25"/>
      <x:c r="W444" s="25"/>
      <x:c r="X444" s="25"/>
      <x:c r="Y444" s="25"/>
      <x:c r="Z444" s="25"/>
    </x:row>
    <x:row r="445">
      <x:c r="A445" s="25"/>
      <x:c r="B445" s="25"/>
      <x:c r="C445" s="25"/>
      <x:c r="D445" s="25"/>
      <x:c r="E445" s="25"/>
      <x:c r="F445" s="25"/>
      <x:c r="G445" s="25"/>
      <x:c r="H445" s="25"/>
      <x:c r="I445" s="25"/>
      <x:c r="J445" s="25"/>
      <x:c r="K445" s="25"/>
      <x:c r="L445" s="25"/>
      <x:c r="M445" s="25"/>
      <x:c r="N445" s="25"/>
      <x:c r="O445" s="25"/>
      <x:c r="P445" s="25"/>
      <x:c r="Q445" s="25"/>
      <x:c r="R445" s="25"/>
      <x:c r="S445" s="25"/>
      <x:c r="T445" s="25"/>
      <x:c r="U445" s="25"/>
      <x:c r="V445" s="25"/>
      <x:c r="W445" s="25"/>
      <x:c r="X445" s="25"/>
      <x:c r="Y445" s="25"/>
      <x:c r="Z445" s="25"/>
    </x:row>
    <x:row r="446">
      <x:c r="A446" s="25"/>
      <x:c r="B446" s="25"/>
      <x:c r="C446" s="25"/>
      <x:c r="D446" s="25"/>
      <x:c r="E446" s="25"/>
      <x:c r="F446" s="25"/>
      <x:c r="G446" s="25"/>
      <x:c r="H446" s="25"/>
      <x:c r="I446" s="25"/>
      <x:c r="J446" s="25"/>
      <x:c r="K446" s="25"/>
      <x:c r="L446" s="25"/>
      <x:c r="M446" s="25"/>
      <x:c r="N446" s="25"/>
      <x:c r="O446" s="25"/>
      <x:c r="P446" s="25"/>
      <x:c r="Q446" s="25"/>
      <x:c r="R446" s="25"/>
      <x:c r="S446" s="25"/>
      <x:c r="T446" s="25"/>
      <x:c r="U446" s="25"/>
      <x:c r="V446" s="25"/>
      <x:c r="W446" s="25"/>
      <x:c r="X446" s="25"/>
      <x:c r="Y446" s="25"/>
      <x:c r="Z446" s="25"/>
    </x:row>
    <x:row r="447">
      <x:c r="A447" s="25"/>
      <x:c r="B447" s="25"/>
      <x:c r="C447" s="25"/>
      <x:c r="D447" s="25"/>
      <x:c r="E447" s="25"/>
      <x:c r="F447" s="25"/>
      <x:c r="G447" s="25"/>
      <x:c r="H447" s="25"/>
      <x:c r="I447" s="25"/>
      <x:c r="J447" s="25"/>
      <x:c r="K447" s="25"/>
      <x:c r="L447" s="25"/>
      <x:c r="M447" s="25"/>
      <x:c r="N447" s="25"/>
      <x:c r="O447" s="25"/>
      <x:c r="P447" s="25"/>
      <x:c r="Q447" s="25"/>
      <x:c r="R447" s="25"/>
      <x:c r="S447" s="25"/>
      <x:c r="T447" s="25"/>
      <x:c r="U447" s="25"/>
      <x:c r="V447" s="25"/>
      <x:c r="W447" s="25"/>
      <x:c r="X447" s="25"/>
      <x:c r="Y447" s="25"/>
      <x:c r="Z447" s="25"/>
    </x:row>
    <x:row r="448">
      <x:c r="A448" s="25"/>
      <x:c r="B448" s="25"/>
      <x:c r="C448" s="25"/>
      <x:c r="D448" s="25"/>
      <x:c r="E448" s="25"/>
      <x:c r="F448" s="25"/>
      <x:c r="G448" s="25"/>
      <x:c r="H448" s="25"/>
      <x:c r="I448" s="25"/>
      <x:c r="J448" s="25"/>
      <x:c r="K448" s="25"/>
      <x:c r="L448" s="25"/>
      <x:c r="M448" s="25"/>
      <x:c r="N448" s="25"/>
      <x:c r="O448" s="25"/>
      <x:c r="P448" s="25"/>
      <x:c r="Q448" s="25"/>
      <x:c r="R448" s="25"/>
      <x:c r="S448" s="25"/>
      <x:c r="T448" s="25"/>
      <x:c r="U448" s="25"/>
      <x:c r="V448" s="25"/>
      <x:c r="W448" s="25"/>
      <x:c r="X448" s="25"/>
      <x:c r="Y448" s="25"/>
      <x:c r="Z448" s="25"/>
    </x:row>
    <x:row r="449">
      <x:c r="A449" s="25"/>
      <x:c r="B449" s="25"/>
      <x:c r="C449" s="25"/>
      <x:c r="D449" s="25"/>
      <x:c r="E449" s="25"/>
      <x:c r="F449" s="25"/>
      <x:c r="G449" s="25"/>
      <x:c r="H449" s="25"/>
      <x:c r="I449" s="25"/>
      <x:c r="J449" s="25"/>
      <x:c r="K449" s="25"/>
      <x:c r="L449" s="25"/>
      <x:c r="M449" s="25"/>
      <x:c r="N449" s="25"/>
      <x:c r="O449" s="25"/>
      <x:c r="P449" s="25"/>
      <x:c r="Q449" s="25"/>
      <x:c r="R449" s="25"/>
      <x:c r="S449" s="25"/>
      <x:c r="T449" s="25"/>
      <x:c r="U449" s="25"/>
      <x:c r="V449" s="25"/>
      <x:c r="W449" s="25"/>
      <x:c r="X449" s="25"/>
      <x:c r="Y449" s="25"/>
      <x:c r="Z449" s="25"/>
    </x:row>
    <x:row r="450">
      <x:c r="A450" s="25"/>
      <x:c r="B450" s="25"/>
      <x:c r="C450" s="25"/>
      <x:c r="D450" s="25"/>
      <x:c r="E450" s="25"/>
      <x:c r="F450" s="25"/>
      <x:c r="G450" s="25"/>
      <x:c r="H450" s="25"/>
      <x:c r="I450" s="25"/>
      <x:c r="J450" s="25"/>
      <x:c r="K450" s="25"/>
      <x:c r="L450" s="25"/>
      <x:c r="M450" s="25"/>
      <x:c r="N450" s="25"/>
      <x:c r="O450" s="25"/>
      <x:c r="P450" s="25"/>
      <x:c r="Q450" s="25"/>
      <x:c r="R450" s="25"/>
      <x:c r="S450" s="25"/>
      <x:c r="T450" s="25"/>
      <x:c r="U450" s="25"/>
      <x:c r="V450" s="25"/>
      <x:c r="W450" s="25"/>
      <x:c r="X450" s="25"/>
      <x:c r="Y450" s="25"/>
      <x:c r="Z450" s="25"/>
    </x:row>
    <x:row r="451">
      <x:c r="A451" s="25"/>
      <x:c r="B451" s="25"/>
      <x:c r="C451" s="25"/>
      <x:c r="D451" s="25"/>
      <x:c r="E451" s="25"/>
      <x:c r="F451" s="25"/>
      <x:c r="G451" s="25"/>
      <x:c r="H451" s="25"/>
      <x:c r="I451" s="25"/>
      <x:c r="J451" s="25"/>
      <x:c r="K451" s="25"/>
      <x:c r="L451" s="25"/>
      <x:c r="M451" s="25"/>
      <x:c r="N451" s="25"/>
      <x:c r="O451" s="25"/>
      <x:c r="P451" s="25"/>
      <x:c r="Q451" s="25"/>
      <x:c r="R451" s="25"/>
      <x:c r="S451" s="25"/>
      <x:c r="T451" s="25"/>
      <x:c r="U451" s="25"/>
      <x:c r="V451" s="25"/>
      <x:c r="W451" s="25"/>
      <x:c r="X451" s="25"/>
      <x:c r="Y451" s="25"/>
      <x:c r="Z451" s="25"/>
    </x:row>
    <x:row r="452">
      <x:c r="A452" s="25"/>
      <x:c r="B452" s="25"/>
      <x:c r="C452" s="25"/>
      <x:c r="D452" s="25"/>
      <x:c r="E452" s="25"/>
      <x:c r="F452" s="25"/>
      <x:c r="G452" s="25"/>
      <x:c r="H452" s="25"/>
      <x:c r="I452" s="25"/>
      <x:c r="J452" s="25"/>
      <x:c r="K452" s="25"/>
      <x:c r="L452" s="25"/>
      <x:c r="M452" s="25"/>
      <x:c r="N452" s="25"/>
      <x:c r="O452" s="25"/>
      <x:c r="P452" s="25"/>
      <x:c r="Q452" s="25"/>
      <x:c r="R452" s="25"/>
      <x:c r="S452" s="25"/>
      <x:c r="T452" s="25"/>
      <x:c r="U452" s="25"/>
      <x:c r="V452" s="25"/>
      <x:c r="W452" s="25"/>
      <x:c r="X452" s="25"/>
      <x:c r="Y452" s="25"/>
      <x:c r="Z452" s="25"/>
    </x:row>
    <x:row r="453">
      <x:c r="A453" s="25"/>
      <x:c r="B453" s="25"/>
      <x:c r="C453" s="25"/>
      <x:c r="D453" s="25"/>
      <x:c r="E453" s="25"/>
      <x:c r="F453" s="25"/>
      <x:c r="G453" s="25"/>
      <x:c r="H453" s="25"/>
      <x:c r="I453" s="25"/>
      <x:c r="J453" s="25"/>
      <x:c r="K453" s="25"/>
      <x:c r="L453" s="25"/>
      <x:c r="M453" s="25"/>
      <x:c r="N453" s="25"/>
      <x:c r="O453" s="25"/>
      <x:c r="P453" s="25"/>
      <x:c r="Q453" s="25"/>
      <x:c r="R453" s="25"/>
      <x:c r="S453" s="25"/>
      <x:c r="T453" s="25"/>
      <x:c r="U453" s="25"/>
      <x:c r="V453" s="25"/>
      <x:c r="W453" s="25"/>
      <x:c r="X453" s="25"/>
      <x:c r="Y453" s="25"/>
      <x:c r="Z453" s="25"/>
    </x:row>
    <x:row r="454">
      <x:c r="A454" s="25"/>
      <x:c r="B454" s="25"/>
      <x:c r="C454" s="25"/>
      <x:c r="D454" s="25"/>
      <x:c r="E454" s="25"/>
      <x:c r="F454" s="25"/>
      <x:c r="G454" s="25"/>
      <x:c r="H454" s="25"/>
      <x:c r="I454" s="25"/>
      <x:c r="J454" s="25"/>
      <x:c r="K454" s="25"/>
      <x:c r="L454" s="25"/>
      <x:c r="M454" s="25"/>
      <x:c r="N454" s="25"/>
      <x:c r="O454" s="25"/>
      <x:c r="P454" s="25"/>
      <x:c r="Q454" s="25"/>
      <x:c r="R454" s="25"/>
      <x:c r="S454" s="25"/>
      <x:c r="T454" s="25"/>
      <x:c r="U454" s="25"/>
      <x:c r="V454" s="25"/>
      <x:c r="W454" s="25"/>
      <x:c r="X454" s="25"/>
      <x:c r="Y454" s="25"/>
      <x:c r="Z454" s="25"/>
    </x:row>
    <x:row r="455">
      <x:c r="A455" s="25"/>
      <x:c r="B455" s="25"/>
      <x:c r="C455" s="25"/>
      <x:c r="D455" s="25"/>
      <x:c r="E455" s="25"/>
      <x:c r="F455" s="25"/>
      <x:c r="G455" s="25"/>
      <x:c r="H455" s="25"/>
      <x:c r="I455" s="25"/>
      <x:c r="J455" s="25"/>
      <x:c r="K455" s="25"/>
      <x:c r="L455" s="25"/>
      <x:c r="M455" s="25"/>
      <x:c r="N455" s="25"/>
      <x:c r="O455" s="25"/>
      <x:c r="P455" s="25"/>
      <x:c r="Q455" s="25"/>
      <x:c r="R455" s="25"/>
      <x:c r="S455" s="25"/>
      <x:c r="T455" s="25"/>
      <x:c r="U455" s="25"/>
      <x:c r="V455" s="25"/>
      <x:c r="W455" s="25"/>
      <x:c r="X455" s="25"/>
      <x:c r="Y455" s="25"/>
      <x:c r="Z455" s="25"/>
    </x:row>
    <x:row r="456">
      <x:c r="A456" s="25"/>
      <x:c r="B456" s="25"/>
      <x:c r="C456" s="25"/>
      <x:c r="D456" s="25"/>
      <x:c r="E456" s="25"/>
      <x:c r="F456" s="25"/>
      <x:c r="G456" s="25"/>
      <x:c r="H456" s="25"/>
      <x:c r="I456" s="25"/>
      <x:c r="J456" s="25"/>
      <x:c r="K456" s="25"/>
      <x:c r="L456" s="25"/>
      <x:c r="M456" s="25"/>
      <x:c r="N456" s="25"/>
      <x:c r="O456" s="25"/>
      <x:c r="P456" s="25"/>
      <x:c r="Q456" s="25"/>
      <x:c r="R456" s="25"/>
      <x:c r="S456" s="25"/>
      <x:c r="T456" s="25"/>
      <x:c r="U456" s="25"/>
      <x:c r="V456" s="25"/>
      <x:c r="W456" s="25"/>
      <x:c r="X456" s="25"/>
      <x:c r="Y456" s="25"/>
      <x:c r="Z456" s="25"/>
    </x:row>
    <x:row r="457">
      <x:c r="A457" s="25"/>
      <x:c r="B457" s="25"/>
      <x:c r="C457" s="25"/>
      <x:c r="D457" s="25"/>
      <x:c r="E457" s="25"/>
      <x:c r="F457" s="25"/>
      <x:c r="G457" s="25"/>
      <x:c r="H457" s="25"/>
      <x:c r="I457" s="25"/>
      <x:c r="J457" s="25"/>
      <x:c r="K457" s="25"/>
      <x:c r="L457" s="25"/>
      <x:c r="M457" s="25"/>
      <x:c r="N457" s="25"/>
      <x:c r="O457" s="25"/>
      <x:c r="P457" s="25"/>
      <x:c r="Q457" s="25"/>
      <x:c r="R457" s="25"/>
      <x:c r="S457" s="25"/>
      <x:c r="T457" s="25"/>
      <x:c r="U457" s="25"/>
      <x:c r="V457" s="25"/>
      <x:c r="W457" s="25"/>
      <x:c r="X457" s="25"/>
      <x:c r="Y457" s="25"/>
      <x:c r="Z457" s="25"/>
    </x:row>
    <x:row r="458">
      <x:c r="A458" s="25"/>
      <x:c r="B458" s="25"/>
      <x:c r="C458" s="25"/>
      <x:c r="D458" s="25"/>
      <x:c r="E458" s="25"/>
      <x:c r="F458" s="25"/>
      <x:c r="G458" s="25"/>
      <x:c r="H458" s="25"/>
      <x:c r="I458" s="25"/>
      <x:c r="J458" s="25"/>
      <x:c r="K458" s="25"/>
      <x:c r="L458" s="25"/>
      <x:c r="M458" s="25"/>
      <x:c r="N458" s="25"/>
      <x:c r="O458" s="25"/>
      <x:c r="P458" s="25"/>
      <x:c r="Q458" s="25"/>
      <x:c r="R458" s="25"/>
      <x:c r="S458" s="25"/>
      <x:c r="T458" s="25"/>
      <x:c r="U458" s="25"/>
      <x:c r="V458" s="25"/>
      <x:c r="W458" s="25"/>
      <x:c r="X458" s="25"/>
      <x:c r="Y458" s="25"/>
      <x:c r="Z458" s="25"/>
    </x:row>
    <x:row r="459">
      <x:c r="A459" s="25"/>
      <x:c r="B459" s="25"/>
      <x:c r="C459" s="25"/>
      <x:c r="D459" s="25"/>
      <x:c r="E459" s="25"/>
      <x:c r="F459" s="25"/>
      <x:c r="G459" s="25"/>
      <x:c r="H459" s="25"/>
      <x:c r="I459" s="25"/>
      <x:c r="J459" s="25"/>
      <x:c r="K459" s="25"/>
      <x:c r="L459" s="25"/>
      <x:c r="M459" s="25"/>
      <x:c r="N459" s="25"/>
      <x:c r="O459" s="25"/>
      <x:c r="P459" s="25"/>
      <x:c r="Q459" s="25"/>
      <x:c r="R459" s="25"/>
      <x:c r="S459" s="25"/>
      <x:c r="T459" s="25"/>
      <x:c r="U459" s="25"/>
      <x:c r="V459" s="25"/>
      <x:c r="W459" s="25"/>
      <x:c r="X459" s="25"/>
      <x:c r="Y459" s="25"/>
      <x:c r="Z459" s="25"/>
    </x:row>
    <x:row r="460">
      <x:c r="A460" s="25"/>
      <x:c r="B460" s="25"/>
      <x:c r="C460" s="25"/>
      <x:c r="D460" s="25"/>
      <x:c r="E460" s="25"/>
      <x:c r="F460" s="25"/>
      <x:c r="G460" s="25"/>
      <x:c r="H460" s="25"/>
      <x:c r="I460" s="25"/>
      <x:c r="J460" s="25"/>
      <x:c r="K460" s="25"/>
      <x:c r="L460" s="25"/>
      <x:c r="M460" s="25"/>
      <x:c r="N460" s="25"/>
      <x:c r="O460" s="25"/>
      <x:c r="P460" s="25"/>
      <x:c r="Q460" s="25"/>
      <x:c r="R460" s="25"/>
      <x:c r="S460" s="25"/>
      <x:c r="T460" s="25"/>
      <x:c r="U460" s="25"/>
      <x:c r="V460" s="25"/>
      <x:c r="W460" s="25"/>
      <x:c r="X460" s="25"/>
      <x:c r="Y460" s="25"/>
      <x:c r="Z460" s="25"/>
    </x:row>
    <x:row r="461">
      <x:c r="A461" s="25"/>
      <x:c r="B461" s="25"/>
      <x:c r="C461" s="25"/>
      <x:c r="D461" s="25"/>
      <x:c r="E461" s="25"/>
      <x:c r="F461" s="25"/>
      <x:c r="G461" s="25"/>
      <x:c r="H461" s="25"/>
      <x:c r="I461" s="25"/>
      <x:c r="J461" s="25"/>
      <x:c r="K461" s="25"/>
      <x:c r="L461" s="25"/>
      <x:c r="M461" s="25"/>
      <x:c r="N461" s="25"/>
      <x:c r="O461" s="25"/>
      <x:c r="P461" s="25"/>
      <x:c r="Q461" s="25"/>
      <x:c r="R461" s="25"/>
      <x:c r="S461" s="25"/>
      <x:c r="T461" s="25"/>
      <x:c r="U461" s="25"/>
      <x:c r="V461" s="25"/>
      <x:c r="W461" s="25"/>
      <x:c r="X461" s="25"/>
      <x:c r="Y461" s="25"/>
      <x:c r="Z461" s="25"/>
    </x:row>
    <x:row r="462">
      <x:c r="A462" s="25"/>
      <x:c r="B462" s="25"/>
      <x:c r="C462" s="25"/>
      <x:c r="D462" s="25"/>
      <x:c r="E462" s="25"/>
      <x:c r="F462" s="25"/>
      <x:c r="G462" s="25"/>
      <x:c r="H462" s="25"/>
      <x:c r="I462" s="25"/>
      <x:c r="J462" s="25"/>
      <x:c r="K462" s="25"/>
      <x:c r="L462" s="25"/>
      <x:c r="M462" s="25"/>
      <x:c r="N462" s="25"/>
      <x:c r="O462" s="25"/>
      <x:c r="P462" s="25"/>
      <x:c r="Q462" s="25"/>
      <x:c r="R462" s="25"/>
      <x:c r="S462" s="25"/>
      <x:c r="T462" s="25"/>
      <x:c r="U462" s="25"/>
      <x:c r="V462" s="25"/>
      <x:c r="W462" s="25"/>
      <x:c r="X462" s="25"/>
      <x:c r="Y462" s="25"/>
      <x:c r="Z462" s="25"/>
    </x:row>
    <x:row r="463">
      <x:c r="A463" s="25"/>
      <x:c r="B463" s="25"/>
      <x:c r="C463" s="25"/>
      <x:c r="D463" s="25"/>
      <x:c r="E463" s="25"/>
      <x:c r="F463" s="25"/>
      <x:c r="G463" s="25"/>
      <x:c r="H463" s="25"/>
      <x:c r="I463" s="25"/>
      <x:c r="J463" s="25"/>
      <x:c r="K463" s="25"/>
      <x:c r="L463" s="25"/>
      <x:c r="M463" s="25"/>
      <x:c r="N463" s="25"/>
      <x:c r="O463" s="25"/>
      <x:c r="P463" s="25"/>
      <x:c r="Q463" s="25"/>
      <x:c r="R463" s="25"/>
      <x:c r="S463" s="25"/>
      <x:c r="T463" s="25"/>
      <x:c r="U463" s="25"/>
      <x:c r="V463" s="25"/>
      <x:c r="W463" s="25"/>
      <x:c r="X463" s="25"/>
      <x:c r="Y463" s="25"/>
      <x:c r="Z463" s="25"/>
    </x:row>
    <x:row r="464">
      <x:c r="A464" s="25"/>
      <x:c r="B464" s="25"/>
      <x:c r="C464" s="25"/>
      <x:c r="D464" s="25"/>
      <x:c r="E464" s="25"/>
      <x:c r="F464" s="25"/>
      <x:c r="G464" s="25"/>
      <x:c r="H464" s="25"/>
      <x:c r="I464" s="25"/>
      <x:c r="J464" s="25"/>
      <x:c r="K464" s="25"/>
      <x:c r="L464" s="25"/>
      <x:c r="M464" s="25"/>
      <x:c r="N464" s="25"/>
      <x:c r="O464" s="25"/>
      <x:c r="P464" s="25"/>
      <x:c r="Q464" s="25"/>
      <x:c r="R464" s="25"/>
      <x:c r="S464" s="25"/>
      <x:c r="T464" s="25"/>
      <x:c r="U464" s="25"/>
      <x:c r="V464" s="25"/>
      <x:c r="W464" s="25"/>
      <x:c r="X464" s="25"/>
      <x:c r="Y464" s="25"/>
      <x:c r="Z464" s="25"/>
    </x:row>
    <x:row r="465">
      <x:c r="A465" s="25"/>
      <x:c r="B465" s="25"/>
      <x:c r="C465" s="25"/>
      <x:c r="D465" s="25"/>
      <x:c r="E465" s="25"/>
      <x:c r="F465" s="25"/>
      <x:c r="G465" s="25"/>
      <x:c r="H465" s="25"/>
      <x:c r="I465" s="25"/>
      <x:c r="J465" s="25"/>
      <x:c r="K465" s="25"/>
      <x:c r="L465" s="25"/>
      <x:c r="M465" s="25"/>
      <x:c r="N465" s="25"/>
      <x:c r="O465" s="25"/>
      <x:c r="P465" s="25"/>
      <x:c r="Q465" s="25"/>
      <x:c r="R465" s="25"/>
      <x:c r="S465" s="25"/>
      <x:c r="T465" s="25"/>
      <x:c r="U465" s="25"/>
      <x:c r="V465" s="25"/>
      <x:c r="W465" s="25"/>
      <x:c r="X465" s="25"/>
      <x:c r="Y465" s="25"/>
      <x:c r="Z465" s="25"/>
    </x:row>
    <x:row r="466">
      <x:c r="A466" s="25"/>
      <x:c r="B466" s="25"/>
      <x:c r="C466" s="25"/>
      <x:c r="D466" s="25"/>
      <x:c r="E466" s="25"/>
      <x:c r="F466" s="25"/>
      <x:c r="G466" s="25"/>
      <x:c r="H466" s="25"/>
      <x:c r="I466" s="25"/>
      <x:c r="J466" s="25"/>
      <x:c r="K466" s="25"/>
      <x:c r="L466" s="25"/>
      <x:c r="M466" s="25"/>
      <x:c r="N466" s="25"/>
      <x:c r="O466" s="25"/>
      <x:c r="P466" s="25"/>
      <x:c r="Q466" s="25"/>
      <x:c r="R466" s="25"/>
      <x:c r="S466" s="25"/>
      <x:c r="T466" s="25"/>
      <x:c r="U466" s="25"/>
      <x:c r="V466" s="25"/>
      <x:c r="W466" s="25"/>
      <x:c r="X466" s="25"/>
      <x:c r="Y466" s="25"/>
      <x:c r="Z466" s="25"/>
    </x:row>
    <x:row r="467">
      <x:c r="A467" s="25"/>
      <x:c r="B467" s="25"/>
      <x:c r="C467" s="25"/>
      <x:c r="D467" s="25"/>
      <x:c r="E467" s="25"/>
      <x:c r="F467" s="25"/>
      <x:c r="G467" s="25"/>
      <x:c r="H467" s="25"/>
      <x:c r="I467" s="25"/>
      <x:c r="J467" s="25"/>
      <x:c r="K467" s="25"/>
      <x:c r="L467" s="25"/>
      <x:c r="M467" s="25"/>
      <x:c r="N467" s="25"/>
      <x:c r="O467" s="25"/>
      <x:c r="P467" s="25"/>
      <x:c r="Q467" s="25"/>
      <x:c r="R467" s="25"/>
      <x:c r="S467" s="25"/>
      <x:c r="T467" s="25"/>
      <x:c r="U467" s="25"/>
      <x:c r="V467" s="25"/>
      <x:c r="W467" s="25"/>
      <x:c r="X467" s="25"/>
      <x:c r="Y467" s="25"/>
      <x:c r="Z467" s="25"/>
    </x:row>
    <x:row r="468">
      <x:c r="A468" s="25"/>
      <x:c r="B468" s="25"/>
      <x:c r="C468" s="25"/>
      <x:c r="D468" s="25"/>
      <x:c r="E468" s="25"/>
      <x:c r="F468" s="25"/>
      <x:c r="G468" s="25"/>
      <x:c r="H468" s="25"/>
      <x:c r="I468" s="25"/>
      <x:c r="J468" s="25"/>
      <x:c r="K468" s="25"/>
      <x:c r="L468" s="25"/>
      <x:c r="M468" s="25"/>
      <x:c r="N468" s="25"/>
      <x:c r="O468" s="25"/>
      <x:c r="P468" s="25"/>
      <x:c r="Q468" s="25"/>
      <x:c r="R468" s="25"/>
      <x:c r="S468" s="25"/>
      <x:c r="T468" s="25"/>
      <x:c r="U468" s="25"/>
      <x:c r="V468" s="25"/>
      <x:c r="W468" s="25"/>
      <x:c r="X468" s="25"/>
      <x:c r="Y468" s="25"/>
      <x:c r="Z468" s="25"/>
    </x:row>
    <x:row r="469">
      <x:c r="A469" s="25"/>
      <x:c r="B469" s="25"/>
      <x:c r="C469" s="25"/>
      <x:c r="D469" s="25"/>
      <x:c r="E469" s="25"/>
      <x:c r="F469" s="25"/>
      <x:c r="G469" s="25"/>
      <x:c r="H469" s="25"/>
      <x:c r="I469" s="25"/>
      <x:c r="J469" s="25"/>
      <x:c r="K469" s="25"/>
      <x:c r="L469" s="25"/>
      <x:c r="M469" s="25"/>
      <x:c r="N469" s="25"/>
      <x:c r="O469" s="25"/>
      <x:c r="P469" s="25"/>
      <x:c r="Q469" s="25"/>
      <x:c r="R469" s="25"/>
      <x:c r="S469" s="25"/>
      <x:c r="T469" s="25"/>
      <x:c r="U469" s="25"/>
      <x:c r="V469" s="25"/>
      <x:c r="W469" s="25"/>
      <x:c r="X469" s="25"/>
      <x:c r="Y469" s="25"/>
      <x:c r="Z469" s="25"/>
    </x:row>
    <x:row r="470">
      <x:c r="A470" s="25"/>
      <x:c r="B470" s="25"/>
      <x:c r="C470" s="25"/>
      <x:c r="D470" s="25"/>
      <x:c r="E470" s="25"/>
      <x:c r="F470" s="25"/>
      <x:c r="G470" s="25"/>
      <x:c r="H470" s="25"/>
      <x:c r="I470" s="25"/>
      <x:c r="J470" s="25"/>
      <x:c r="K470" s="25"/>
      <x:c r="L470" s="25"/>
      <x:c r="M470" s="25"/>
      <x:c r="N470" s="25"/>
      <x:c r="O470" s="25"/>
      <x:c r="P470" s="25"/>
      <x:c r="Q470" s="25"/>
      <x:c r="R470" s="25"/>
      <x:c r="S470" s="25"/>
      <x:c r="T470" s="25"/>
      <x:c r="U470" s="25"/>
      <x:c r="V470" s="25"/>
      <x:c r="W470" s="25"/>
      <x:c r="X470" s="25"/>
      <x:c r="Y470" s="25"/>
      <x:c r="Z470" s="25"/>
    </x:row>
    <x:row r="471">
      <x:c r="A471" s="25"/>
      <x:c r="B471" s="25"/>
      <x:c r="C471" s="25"/>
      <x:c r="D471" s="25"/>
      <x:c r="E471" s="25"/>
      <x:c r="F471" s="25"/>
      <x:c r="G471" s="25"/>
      <x:c r="H471" s="25"/>
      <x:c r="I471" s="25"/>
      <x:c r="J471" s="25"/>
      <x:c r="K471" s="25"/>
      <x:c r="L471" s="25"/>
      <x:c r="M471" s="25"/>
      <x:c r="N471" s="25"/>
      <x:c r="O471" s="25"/>
      <x:c r="P471" s="25"/>
      <x:c r="Q471" s="25"/>
      <x:c r="R471" s="25"/>
      <x:c r="S471" s="25"/>
      <x:c r="T471" s="25"/>
      <x:c r="U471" s="25"/>
      <x:c r="V471" s="25"/>
      <x:c r="W471" s="25"/>
      <x:c r="X471" s="25"/>
      <x:c r="Y471" s="25"/>
      <x:c r="Z471" s="25"/>
    </x:row>
    <x:row r="472">
      <x:c r="A472" s="25"/>
      <x:c r="B472" s="25"/>
      <x:c r="C472" s="25"/>
      <x:c r="D472" s="25"/>
      <x:c r="E472" s="25"/>
      <x:c r="F472" s="25"/>
      <x:c r="G472" s="25"/>
      <x:c r="H472" s="25"/>
      <x:c r="I472" s="25"/>
      <x:c r="J472" s="25"/>
      <x:c r="K472" s="25"/>
      <x:c r="L472" s="25"/>
      <x:c r="M472" s="25"/>
      <x:c r="N472" s="25"/>
      <x:c r="O472" s="25"/>
      <x:c r="P472" s="25"/>
      <x:c r="Q472" s="25"/>
      <x:c r="R472" s="25"/>
      <x:c r="S472" s="25"/>
      <x:c r="T472" s="25"/>
      <x:c r="U472" s="25"/>
      <x:c r="V472" s="25"/>
      <x:c r="W472" s="25"/>
      <x:c r="X472" s="25"/>
      <x:c r="Y472" s="25"/>
      <x:c r="Z472" s="25"/>
    </x:row>
    <x:row r="473">
      <x:c r="A473" s="25"/>
      <x:c r="B473" s="25"/>
      <x:c r="C473" s="25"/>
      <x:c r="D473" s="25"/>
      <x:c r="E473" s="25"/>
      <x:c r="F473" s="25"/>
      <x:c r="G473" s="25"/>
      <x:c r="H473" s="25"/>
      <x:c r="I473" s="25"/>
      <x:c r="J473" s="25"/>
      <x:c r="K473" s="25"/>
      <x:c r="L473" s="25"/>
      <x:c r="M473" s="25"/>
      <x:c r="N473" s="25"/>
      <x:c r="O473" s="25"/>
      <x:c r="P473" s="25"/>
      <x:c r="Q473" s="25"/>
      <x:c r="R473" s="25"/>
      <x:c r="S473" s="25"/>
      <x:c r="T473" s="25"/>
      <x:c r="U473" s="25"/>
      <x:c r="V473" s="25"/>
      <x:c r="W473" s="25"/>
      <x:c r="X473" s="25"/>
      <x:c r="Y473" s="25"/>
      <x:c r="Z473" s="25"/>
    </x:row>
    <x:row r="474">
      <x:c r="A474" s="25"/>
      <x:c r="B474" s="25"/>
      <x:c r="C474" s="25"/>
      <x:c r="D474" s="25"/>
      <x:c r="E474" s="25"/>
      <x:c r="F474" s="25"/>
      <x:c r="G474" s="25"/>
      <x:c r="H474" s="25"/>
      <x:c r="I474" s="25"/>
      <x:c r="J474" s="25"/>
      <x:c r="K474" s="25"/>
      <x:c r="L474" s="25"/>
      <x:c r="M474" s="25"/>
      <x:c r="N474" s="25"/>
      <x:c r="O474" s="25"/>
      <x:c r="P474" s="25"/>
      <x:c r="Q474" s="25"/>
      <x:c r="R474" s="25"/>
      <x:c r="S474" s="25"/>
      <x:c r="T474" s="25"/>
      <x:c r="U474" s="25"/>
      <x:c r="V474" s="25"/>
      <x:c r="W474" s="25"/>
      <x:c r="X474" s="25"/>
      <x:c r="Y474" s="25"/>
      <x:c r="Z474" s="25"/>
    </x:row>
    <x:row r="475">
      <x:c r="A475" s="25"/>
      <x:c r="B475" s="25"/>
      <x:c r="C475" s="25"/>
      <x:c r="D475" s="25"/>
      <x:c r="E475" s="25"/>
      <x:c r="F475" s="25"/>
      <x:c r="G475" s="25"/>
      <x:c r="H475" s="25"/>
      <x:c r="I475" s="25"/>
      <x:c r="J475" s="25"/>
      <x:c r="K475" s="25"/>
      <x:c r="L475" s="25"/>
      <x:c r="M475" s="25"/>
      <x:c r="N475" s="25"/>
      <x:c r="O475" s="25"/>
      <x:c r="P475" s="25"/>
      <x:c r="Q475" s="25"/>
      <x:c r="R475" s="25"/>
      <x:c r="S475" s="25"/>
      <x:c r="T475" s="25"/>
      <x:c r="U475" s="25"/>
      <x:c r="V475" s="25"/>
      <x:c r="W475" s="25"/>
      <x:c r="X475" s="25"/>
      <x:c r="Y475" s="25"/>
      <x:c r="Z475" s="25"/>
    </x:row>
    <x:row r="476">
      <x:c r="A476" s="25"/>
      <x:c r="B476" s="25"/>
      <x:c r="C476" s="25"/>
      <x:c r="D476" s="25"/>
      <x:c r="E476" s="25"/>
      <x:c r="F476" s="25"/>
      <x:c r="G476" s="25"/>
      <x:c r="H476" s="25"/>
      <x:c r="I476" s="25"/>
      <x:c r="J476" s="25"/>
      <x:c r="K476" s="25"/>
      <x:c r="L476" s="25"/>
      <x:c r="M476" s="25"/>
      <x:c r="N476" s="25"/>
      <x:c r="O476" s="25"/>
      <x:c r="P476" s="25"/>
      <x:c r="Q476" s="25"/>
      <x:c r="R476" s="25"/>
      <x:c r="S476" s="25"/>
      <x:c r="T476" s="25"/>
      <x:c r="U476" s="25"/>
      <x:c r="V476" s="25"/>
      <x:c r="W476" s="25"/>
      <x:c r="X476" s="25"/>
      <x:c r="Y476" s="25"/>
      <x:c r="Z476" s="25"/>
    </x:row>
    <x:row r="477">
      <x:c r="A477" s="25"/>
      <x:c r="B477" s="25"/>
      <x:c r="C477" s="25"/>
      <x:c r="D477" s="25"/>
      <x:c r="E477" s="25"/>
      <x:c r="F477" s="25"/>
      <x:c r="G477" s="25"/>
      <x:c r="H477" s="25"/>
      <x:c r="I477" s="25"/>
      <x:c r="J477" s="25"/>
      <x:c r="K477" s="25"/>
      <x:c r="L477" s="25"/>
      <x:c r="M477" s="25"/>
      <x:c r="N477" s="25"/>
      <x:c r="O477" s="25"/>
      <x:c r="P477" s="25"/>
      <x:c r="Q477" s="25"/>
      <x:c r="R477" s="25"/>
      <x:c r="S477" s="25"/>
      <x:c r="T477" s="25"/>
      <x:c r="U477" s="25"/>
      <x:c r="V477" s="25"/>
      <x:c r="W477" s="25"/>
      <x:c r="X477" s="25"/>
      <x:c r="Y477" s="25"/>
      <x:c r="Z477" s="25"/>
    </x:row>
    <x:row r="478">
      <x:c r="A478" s="25"/>
      <x:c r="B478" s="25"/>
      <x:c r="C478" s="25"/>
      <x:c r="D478" s="25"/>
      <x:c r="E478" s="25"/>
      <x:c r="F478" s="25"/>
      <x:c r="G478" s="25"/>
      <x:c r="H478" s="25"/>
      <x:c r="I478" s="25"/>
      <x:c r="J478" s="25"/>
      <x:c r="K478" s="25"/>
      <x:c r="L478" s="25"/>
      <x:c r="M478" s="25"/>
      <x:c r="N478" s="25"/>
      <x:c r="O478" s="25"/>
      <x:c r="P478" s="25"/>
      <x:c r="Q478" s="25"/>
      <x:c r="R478" s="25"/>
      <x:c r="S478" s="25"/>
      <x:c r="T478" s="25"/>
      <x:c r="U478" s="25"/>
      <x:c r="V478" s="25"/>
      <x:c r="W478" s="25"/>
      <x:c r="X478" s="25"/>
      <x:c r="Y478" s="25"/>
      <x:c r="Z478" s="25"/>
    </x:row>
    <x:row r="479">
      <x:c r="A479" s="25"/>
      <x:c r="B479" s="25"/>
      <x:c r="C479" s="25"/>
      <x:c r="D479" s="25"/>
      <x:c r="E479" s="25"/>
      <x:c r="F479" s="25"/>
      <x:c r="G479" s="25"/>
      <x:c r="H479" s="25"/>
      <x:c r="I479" s="25"/>
      <x:c r="J479" s="25"/>
      <x:c r="K479" s="25"/>
      <x:c r="L479" s="25"/>
      <x:c r="M479" s="25"/>
      <x:c r="N479" s="25"/>
      <x:c r="O479" s="25"/>
      <x:c r="P479" s="25"/>
      <x:c r="Q479" s="25"/>
      <x:c r="R479" s="25"/>
      <x:c r="S479" s="25"/>
      <x:c r="T479" s="25"/>
      <x:c r="U479" s="25"/>
      <x:c r="V479" s="25"/>
      <x:c r="W479" s="25"/>
      <x:c r="X479" s="25"/>
      <x:c r="Y479" s="25"/>
      <x:c r="Z479" s="25"/>
    </x:row>
    <x:row r="480">
      <x:c r="A480" s="25"/>
      <x:c r="B480" s="25"/>
      <x:c r="C480" s="25"/>
      <x:c r="D480" s="25"/>
      <x:c r="E480" s="25"/>
      <x:c r="F480" s="25"/>
      <x:c r="G480" s="25"/>
      <x:c r="H480" s="25"/>
      <x:c r="I480" s="25"/>
      <x:c r="J480" s="25"/>
      <x:c r="K480" s="25"/>
      <x:c r="L480" s="25"/>
      <x:c r="M480" s="25"/>
      <x:c r="N480" s="25"/>
      <x:c r="O480" s="25"/>
      <x:c r="P480" s="25"/>
      <x:c r="Q480" s="25"/>
      <x:c r="R480" s="25"/>
      <x:c r="S480" s="25"/>
      <x:c r="T480" s="25"/>
      <x:c r="U480" s="25"/>
      <x:c r="V480" s="25"/>
      <x:c r="W480" s="25"/>
      <x:c r="X480" s="25"/>
      <x:c r="Y480" s="25"/>
      <x:c r="Z480" s="25"/>
    </x:row>
    <x:row r="481">
      <x:c r="A481" s="25"/>
      <x:c r="B481" s="25"/>
      <x:c r="C481" s="25"/>
      <x:c r="D481" s="25"/>
      <x:c r="E481" s="25"/>
      <x:c r="F481" s="25"/>
      <x:c r="G481" s="25"/>
      <x:c r="H481" s="25"/>
      <x:c r="I481" s="25"/>
      <x:c r="J481" s="25"/>
      <x:c r="K481" s="25"/>
      <x:c r="L481" s="25"/>
      <x:c r="M481" s="25"/>
      <x:c r="N481" s="25"/>
      <x:c r="O481" s="25"/>
      <x:c r="P481" s="25"/>
      <x:c r="Q481" s="25"/>
      <x:c r="R481" s="25"/>
      <x:c r="S481" s="25"/>
      <x:c r="T481" s="25"/>
      <x:c r="U481" s="25"/>
      <x:c r="V481" s="25"/>
      <x:c r="W481" s="25"/>
      <x:c r="X481" s="25"/>
      <x:c r="Y481" s="25"/>
      <x:c r="Z481" s="25"/>
    </x:row>
    <x:row r="482">
      <x:c r="A482" s="25"/>
      <x:c r="B482" s="25"/>
      <x:c r="C482" s="25"/>
      <x:c r="D482" s="25"/>
      <x:c r="E482" s="25"/>
      <x:c r="F482" s="25"/>
      <x:c r="G482" s="25"/>
      <x:c r="H482" s="25"/>
      <x:c r="I482" s="25"/>
      <x:c r="J482" s="25"/>
      <x:c r="K482" s="25"/>
      <x:c r="L482" s="25"/>
      <x:c r="M482" s="25"/>
      <x:c r="N482" s="25"/>
      <x:c r="O482" s="25"/>
      <x:c r="P482" s="25"/>
      <x:c r="Q482" s="25"/>
      <x:c r="R482" s="25"/>
      <x:c r="S482" s="25"/>
      <x:c r="T482" s="25"/>
      <x:c r="U482" s="25"/>
      <x:c r="V482" s="25"/>
      <x:c r="W482" s="25"/>
      <x:c r="X482" s="25"/>
      <x:c r="Y482" s="25"/>
      <x:c r="Z482" s="25"/>
    </x:row>
    <x:row r="483">
      <x:c r="A483" s="25"/>
      <x:c r="B483" s="25"/>
      <x:c r="C483" s="25"/>
      <x:c r="D483" s="25"/>
      <x:c r="E483" s="25"/>
      <x:c r="F483" s="25"/>
      <x:c r="G483" s="25"/>
      <x:c r="H483" s="25"/>
      <x:c r="I483" s="25"/>
      <x:c r="J483" s="25"/>
      <x:c r="K483" s="25"/>
      <x:c r="L483" s="25"/>
      <x:c r="M483" s="25"/>
      <x:c r="N483" s="25"/>
      <x:c r="O483" s="25"/>
      <x:c r="P483" s="25"/>
      <x:c r="Q483" s="25"/>
      <x:c r="R483" s="25"/>
      <x:c r="S483" s="25"/>
      <x:c r="T483" s="25"/>
      <x:c r="U483" s="25"/>
      <x:c r="V483" s="25"/>
      <x:c r="W483" s="25"/>
      <x:c r="X483" s="25"/>
      <x:c r="Y483" s="25"/>
      <x:c r="Z483" s="25"/>
    </x:row>
    <x:row r="484">
      <x:c r="A484" s="25"/>
      <x:c r="B484" s="25"/>
      <x:c r="C484" s="25"/>
      <x:c r="D484" s="25"/>
      <x:c r="E484" s="25"/>
      <x:c r="F484" s="25"/>
      <x:c r="G484" s="25"/>
      <x:c r="H484" s="25"/>
      <x:c r="I484" s="25"/>
      <x:c r="J484" s="25"/>
      <x:c r="K484" s="25"/>
      <x:c r="L484" s="25"/>
      <x:c r="M484" s="25"/>
      <x:c r="N484" s="25"/>
      <x:c r="O484" s="25"/>
      <x:c r="P484" s="25"/>
      <x:c r="Q484" s="25"/>
      <x:c r="R484" s="25"/>
      <x:c r="S484" s="25"/>
      <x:c r="T484" s="25"/>
      <x:c r="U484" s="25"/>
      <x:c r="V484" s="25"/>
      <x:c r="W484" s="25"/>
      <x:c r="X484" s="25"/>
      <x:c r="Y484" s="25"/>
      <x:c r="Z484" s="25"/>
    </x:row>
    <x:row r="485">
      <x:c r="A485" s="25"/>
      <x:c r="B485" s="25"/>
      <x:c r="C485" s="25"/>
      <x:c r="D485" s="25"/>
      <x:c r="E485" s="25"/>
      <x:c r="F485" s="25"/>
      <x:c r="G485" s="25"/>
      <x:c r="H485" s="25"/>
      <x:c r="I485" s="25"/>
      <x:c r="J485" s="25"/>
      <x:c r="K485" s="25"/>
      <x:c r="L485" s="25"/>
      <x:c r="M485" s="25"/>
      <x:c r="N485" s="25"/>
      <x:c r="O485" s="25"/>
      <x:c r="P485" s="25"/>
      <x:c r="Q485" s="25"/>
      <x:c r="R485" s="25"/>
      <x:c r="S485" s="25"/>
      <x:c r="T485" s="25"/>
      <x:c r="U485" s="25"/>
      <x:c r="V485" s="25"/>
      <x:c r="W485" s="25"/>
      <x:c r="X485" s="25"/>
      <x:c r="Y485" s="25"/>
      <x:c r="Z485" s="25"/>
    </x:row>
    <x:row r="486">
      <x:c r="A486" s="25"/>
      <x:c r="B486" s="25"/>
      <x:c r="C486" s="25"/>
      <x:c r="D486" s="25"/>
      <x:c r="E486" s="25"/>
      <x:c r="F486" s="25"/>
      <x:c r="G486" s="25"/>
      <x:c r="H486" s="25"/>
      <x:c r="I486" s="25"/>
      <x:c r="J486" s="25"/>
      <x:c r="K486" s="25"/>
      <x:c r="L486" s="25"/>
      <x:c r="M486" s="25"/>
      <x:c r="N486" s="25"/>
      <x:c r="O486" s="25"/>
      <x:c r="P486" s="25"/>
      <x:c r="Q486" s="25"/>
      <x:c r="R486" s="25"/>
      <x:c r="S486" s="25"/>
      <x:c r="T486" s="25"/>
      <x:c r="U486" s="25"/>
      <x:c r="V486" s="25"/>
      <x:c r="W486" s="25"/>
      <x:c r="X486" s="25"/>
      <x:c r="Y486" s="25"/>
      <x:c r="Z486" s="25"/>
    </x:row>
    <x:row r="487">
      <x:c r="A487" s="25"/>
      <x:c r="B487" s="25"/>
      <x:c r="C487" s="25"/>
      <x:c r="D487" s="25"/>
      <x:c r="E487" s="25"/>
      <x:c r="F487" s="25"/>
      <x:c r="G487" s="25"/>
      <x:c r="H487" s="25"/>
      <x:c r="I487" s="25"/>
      <x:c r="J487" s="25"/>
      <x:c r="K487" s="25"/>
      <x:c r="L487" s="25"/>
      <x:c r="M487" s="25"/>
      <x:c r="N487" s="25"/>
      <x:c r="O487" s="25"/>
      <x:c r="P487" s="25"/>
      <x:c r="Q487" s="25"/>
      <x:c r="R487" s="25"/>
      <x:c r="S487" s="25"/>
      <x:c r="T487" s="25"/>
      <x:c r="U487" s="25"/>
      <x:c r="V487" s="25"/>
      <x:c r="W487" s="25"/>
      <x:c r="X487" s="25"/>
      <x:c r="Y487" s="25"/>
      <x:c r="Z487" s="25"/>
    </x:row>
    <x:row r="488">
      <x:c r="A488" s="25"/>
      <x:c r="B488" s="25"/>
      <x:c r="C488" s="25"/>
      <x:c r="D488" s="25"/>
      <x:c r="E488" s="25"/>
      <x:c r="F488" s="25"/>
      <x:c r="G488" s="25"/>
      <x:c r="H488" s="25"/>
      <x:c r="I488" s="25"/>
      <x:c r="J488" s="25"/>
      <x:c r="K488" s="25"/>
      <x:c r="L488" s="25"/>
      <x:c r="M488" s="25"/>
      <x:c r="N488" s="25"/>
      <x:c r="O488" s="25"/>
      <x:c r="P488" s="25"/>
      <x:c r="Q488" s="25"/>
      <x:c r="R488" s="25"/>
      <x:c r="S488" s="25"/>
      <x:c r="T488" s="25"/>
      <x:c r="U488" s="25"/>
      <x:c r="V488" s="25"/>
      <x:c r="W488" s="25"/>
      <x:c r="X488" s="25"/>
      <x:c r="Y488" s="25"/>
      <x:c r="Z488" s="25"/>
    </x:row>
    <x:row r="489">
      <x:c r="A489" s="25"/>
      <x:c r="B489" s="25"/>
      <x:c r="C489" s="25"/>
      <x:c r="D489" s="25"/>
      <x:c r="E489" s="25"/>
      <x:c r="F489" s="25"/>
      <x:c r="G489" s="25"/>
      <x:c r="H489" s="25"/>
      <x:c r="I489" s="25"/>
      <x:c r="J489" s="25"/>
      <x:c r="K489" s="25"/>
      <x:c r="L489" s="25"/>
      <x:c r="M489" s="25"/>
      <x:c r="N489" s="25"/>
      <x:c r="O489" s="25"/>
      <x:c r="P489" s="25"/>
      <x:c r="Q489" s="25"/>
      <x:c r="R489" s="25"/>
      <x:c r="S489" s="25"/>
      <x:c r="T489" s="25"/>
      <x:c r="U489" s="25"/>
      <x:c r="V489" s="25"/>
      <x:c r="W489" s="25"/>
      <x:c r="X489" s="25"/>
      <x:c r="Y489" s="25"/>
      <x:c r="Z489" s="25"/>
    </x:row>
    <x:row r="490">
      <x:c r="A490" s="25"/>
      <x:c r="B490" s="25"/>
      <x:c r="C490" s="25"/>
      <x:c r="D490" s="25"/>
      <x:c r="E490" s="25"/>
      <x:c r="F490" s="25"/>
      <x:c r="G490" s="25"/>
      <x:c r="H490" s="25"/>
      <x:c r="I490" s="25"/>
      <x:c r="J490" s="25"/>
      <x:c r="K490" s="25"/>
      <x:c r="L490" s="25"/>
      <x:c r="M490" s="25"/>
      <x:c r="N490" s="25"/>
      <x:c r="O490" s="25"/>
      <x:c r="P490" s="25"/>
      <x:c r="Q490" s="25"/>
      <x:c r="R490" s="25"/>
      <x:c r="S490" s="25"/>
      <x:c r="T490" s="25"/>
      <x:c r="U490" s="25"/>
      <x:c r="V490" s="25"/>
      <x:c r="W490" s="25"/>
      <x:c r="X490" s="25"/>
      <x:c r="Y490" s="25"/>
      <x:c r="Z490" s="25"/>
    </x:row>
    <x:row r="491">
      <x:c r="A491" s="25"/>
      <x:c r="B491" s="25"/>
      <x:c r="C491" s="25"/>
      <x:c r="D491" s="25"/>
      <x:c r="E491" s="25"/>
      <x:c r="F491" s="25"/>
      <x:c r="G491" s="25"/>
      <x:c r="H491" s="25"/>
      <x:c r="I491" s="25"/>
      <x:c r="J491" s="25"/>
      <x:c r="K491" s="25"/>
      <x:c r="L491" s="25"/>
      <x:c r="M491" s="25"/>
      <x:c r="N491" s="25"/>
      <x:c r="O491" s="25"/>
      <x:c r="P491" s="25"/>
      <x:c r="Q491" s="25"/>
      <x:c r="R491" s="25"/>
      <x:c r="S491" s="25"/>
      <x:c r="T491" s="25"/>
      <x:c r="U491" s="25"/>
      <x:c r="V491" s="25"/>
      <x:c r="W491" s="25"/>
      <x:c r="X491" s="25"/>
      <x:c r="Y491" s="25"/>
      <x:c r="Z491" s="25"/>
    </x:row>
    <x:row r="492">
      <x:c r="A492" s="25"/>
      <x:c r="B492" s="25"/>
      <x:c r="C492" s="25"/>
      <x:c r="D492" s="25"/>
      <x:c r="E492" s="25"/>
      <x:c r="F492" s="25"/>
      <x:c r="G492" s="25"/>
      <x:c r="H492" s="25"/>
      <x:c r="I492" s="25"/>
      <x:c r="J492" s="25"/>
      <x:c r="K492" s="25"/>
      <x:c r="L492" s="25"/>
      <x:c r="M492" s="25"/>
      <x:c r="N492" s="25"/>
      <x:c r="O492" s="25"/>
      <x:c r="P492" s="25"/>
      <x:c r="Q492" s="25"/>
      <x:c r="R492" s="25"/>
      <x:c r="S492" s="25"/>
      <x:c r="T492" s="25"/>
      <x:c r="U492" s="25"/>
      <x:c r="V492" s="25"/>
      <x:c r="W492" s="25"/>
      <x:c r="X492" s="25"/>
      <x:c r="Y492" s="25"/>
      <x:c r="Z492" s="25"/>
    </x:row>
    <x:row r="493">
      <x:c r="A493" s="25"/>
      <x:c r="B493" s="25"/>
      <x:c r="C493" s="25"/>
      <x:c r="D493" s="25"/>
      <x:c r="E493" s="25"/>
      <x:c r="F493" s="25"/>
      <x:c r="G493" s="25"/>
      <x:c r="H493" s="25"/>
      <x:c r="I493" s="25"/>
      <x:c r="J493" s="25"/>
      <x:c r="K493" s="25"/>
      <x:c r="L493" s="25"/>
      <x:c r="M493" s="25"/>
      <x:c r="N493" s="25"/>
      <x:c r="O493" s="25"/>
      <x:c r="P493" s="25"/>
      <x:c r="Q493" s="25"/>
      <x:c r="R493" s="25"/>
      <x:c r="S493" s="25"/>
      <x:c r="T493" s="25"/>
      <x:c r="U493" s="25"/>
      <x:c r="V493" s="25"/>
      <x:c r="W493" s="25"/>
      <x:c r="X493" s="25"/>
      <x:c r="Y493" s="25"/>
      <x:c r="Z493" s="25"/>
    </x:row>
    <x:row r="494">
      <x:c r="A494" s="25"/>
      <x:c r="B494" s="25"/>
      <x:c r="C494" s="25"/>
      <x:c r="D494" s="25"/>
      <x:c r="E494" s="25"/>
      <x:c r="F494" s="25"/>
      <x:c r="G494" s="25"/>
      <x:c r="H494" s="25"/>
      <x:c r="I494" s="25"/>
      <x:c r="J494" s="25"/>
      <x:c r="K494" s="25"/>
      <x:c r="L494" s="25"/>
      <x:c r="M494" s="25"/>
      <x:c r="N494" s="25"/>
      <x:c r="O494" s="25"/>
      <x:c r="P494" s="25"/>
      <x:c r="Q494" s="25"/>
      <x:c r="R494" s="25"/>
      <x:c r="S494" s="25"/>
      <x:c r="T494" s="25"/>
      <x:c r="U494" s="25"/>
      <x:c r="V494" s="25"/>
      <x:c r="W494" s="25"/>
      <x:c r="X494" s="25"/>
      <x:c r="Y494" s="25"/>
      <x:c r="Z494" s="25"/>
    </x:row>
    <x:row r="495">
      <x:c r="A495" s="25"/>
      <x:c r="B495" s="25"/>
      <x:c r="C495" s="25"/>
      <x:c r="D495" s="25"/>
      <x:c r="E495" s="25"/>
      <x:c r="F495" s="25"/>
      <x:c r="G495" s="25"/>
      <x:c r="H495" s="25"/>
      <x:c r="I495" s="25"/>
      <x:c r="J495" s="25"/>
      <x:c r="K495" s="25"/>
      <x:c r="L495" s="25"/>
      <x:c r="M495" s="25"/>
      <x:c r="N495" s="25"/>
      <x:c r="O495" s="25"/>
      <x:c r="P495" s="25"/>
      <x:c r="Q495" s="25"/>
      <x:c r="R495" s="25"/>
      <x:c r="S495" s="25"/>
      <x:c r="T495" s="25"/>
      <x:c r="U495" s="25"/>
      <x:c r="V495" s="25"/>
      <x:c r="W495" s="25"/>
      <x:c r="X495" s="25"/>
      <x:c r="Y495" s="25"/>
      <x:c r="Z495" s="25"/>
    </x:row>
    <x:row r="496">
      <x:c r="A496" s="25"/>
      <x:c r="B496" s="25"/>
      <x:c r="C496" s="25"/>
      <x:c r="D496" s="25"/>
      <x:c r="E496" s="25"/>
      <x:c r="F496" s="25"/>
      <x:c r="G496" s="25"/>
      <x:c r="H496" s="25"/>
      <x:c r="I496" s="25"/>
      <x:c r="J496" s="25"/>
      <x:c r="K496" s="25"/>
      <x:c r="L496" s="25"/>
      <x:c r="M496" s="25"/>
      <x:c r="N496" s="25"/>
      <x:c r="O496" s="25"/>
      <x:c r="P496" s="25"/>
      <x:c r="Q496" s="25"/>
      <x:c r="R496" s="25"/>
      <x:c r="S496" s="25"/>
      <x:c r="T496" s="25"/>
      <x:c r="U496" s="25"/>
      <x:c r="V496" s="25"/>
      <x:c r="W496" s="25"/>
      <x:c r="X496" s="25"/>
      <x:c r="Y496" s="25"/>
      <x:c r="Z496" s="25"/>
    </x:row>
    <x:row r="497">
      <x:c r="A497" s="25"/>
      <x:c r="B497" s="25"/>
      <x:c r="C497" s="25"/>
      <x:c r="D497" s="25"/>
      <x:c r="E497" s="25"/>
      <x:c r="F497" s="25"/>
      <x:c r="G497" s="25"/>
      <x:c r="H497" s="25"/>
      <x:c r="I497" s="25"/>
      <x:c r="J497" s="25"/>
      <x:c r="K497" s="25"/>
      <x:c r="L497" s="25"/>
      <x:c r="M497" s="25"/>
      <x:c r="N497" s="25"/>
      <x:c r="O497" s="25"/>
      <x:c r="P497" s="25"/>
      <x:c r="Q497" s="25"/>
      <x:c r="R497" s="25"/>
      <x:c r="S497" s="25"/>
      <x:c r="T497" s="25"/>
      <x:c r="U497" s="25"/>
      <x:c r="V497" s="25"/>
      <x:c r="W497" s="25"/>
      <x:c r="X497" s="25"/>
      <x:c r="Y497" s="25"/>
      <x:c r="Z497" s="25"/>
    </x:row>
    <x:row r="498">
      <x:c r="A498" s="25"/>
      <x:c r="B498" s="25"/>
      <x:c r="C498" s="25"/>
      <x:c r="D498" s="25"/>
      <x:c r="E498" s="25"/>
      <x:c r="F498" s="25"/>
      <x:c r="G498" s="25"/>
      <x:c r="H498" s="25"/>
      <x:c r="I498" s="25"/>
      <x:c r="J498" s="25"/>
      <x:c r="K498" s="25"/>
      <x:c r="L498" s="25"/>
      <x:c r="M498" s="25"/>
      <x:c r="N498" s="25"/>
      <x:c r="O498" s="25"/>
      <x:c r="P498" s="25"/>
      <x:c r="Q498" s="25"/>
      <x:c r="R498" s="25"/>
      <x:c r="S498" s="25"/>
      <x:c r="T498" s="25"/>
      <x:c r="U498" s="25"/>
      <x:c r="V498" s="25"/>
      <x:c r="W498" s="25"/>
      <x:c r="X498" s="25"/>
      <x:c r="Y498" s="25"/>
      <x:c r="Z498" s="25"/>
    </x:row>
    <x:row r="499">
      <x:c r="A499" s="25"/>
      <x:c r="B499" s="25"/>
      <x:c r="C499" s="25"/>
      <x:c r="D499" s="25"/>
      <x:c r="E499" s="25"/>
      <x:c r="F499" s="25"/>
      <x:c r="G499" s="25"/>
      <x:c r="H499" s="25"/>
      <x:c r="I499" s="25"/>
      <x:c r="J499" s="25"/>
      <x:c r="K499" s="25"/>
      <x:c r="L499" s="25"/>
      <x:c r="M499" s="25"/>
      <x:c r="N499" s="25"/>
      <x:c r="O499" s="25"/>
      <x:c r="P499" s="25"/>
      <x:c r="Q499" s="25"/>
      <x:c r="R499" s="25"/>
      <x:c r="S499" s="25"/>
      <x:c r="T499" s="25"/>
      <x:c r="U499" s="25"/>
      <x:c r="V499" s="25"/>
      <x:c r="W499" s="25"/>
      <x:c r="X499" s="25"/>
      <x:c r="Y499" s="25"/>
      <x:c r="Z499" s="25"/>
    </x:row>
    <x:row r="500">
      <x:c r="A500" s="25"/>
      <x:c r="B500" s="25"/>
      <x:c r="C500" s="25"/>
      <x:c r="D500" s="25"/>
      <x:c r="E500" s="25"/>
      <x:c r="F500" s="25"/>
      <x:c r="G500" s="25"/>
      <x:c r="H500" s="25"/>
      <x:c r="I500" s="25"/>
      <x:c r="J500" s="25"/>
      <x:c r="K500" s="25"/>
      <x:c r="L500" s="25"/>
      <x:c r="M500" s="25"/>
      <x:c r="N500" s="25"/>
      <x:c r="O500" s="25"/>
      <x:c r="P500" s="25"/>
      <x:c r="Q500" s="25"/>
      <x:c r="R500" s="25"/>
      <x:c r="S500" s="25"/>
      <x:c r="T500" s="25"/>
      <x:c r="U500" s="25"/>
      <x:c r="V500" s="25"/>
      <x:c r="W500" s="25"/>
      <x:c r="X500" s="25"/>
      <x:c r="Y500" s="25"/>
      <x:c r="Z500" s="2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34" hidden="0" customWidth="1"/>
    <x:col min="4" max="4" width="48" hidden="0" customWidth="1"/>
    <x:col min="5" max="5" width="30" hidden="0" customWidth="1"/>
    <x:col min="6" max="6" width="20" hidden="0" customWidth="1"/>
    <x:col min="7" max="7" width="42" hidden="0" customWidth="1"/>
    <x:col min="8" max="8" width="14" hidden="0" customWidth="1"/>
  </x:cols>
  <x:sheetData>
    <x:row r="1">
      <x:c r="A1" s="26" t="str">
        <x:v>Screen / Surface</x:v>
      </x:c>
      <x:c r="B1" s="26" t="str">
        <x:v>v0.1?</x:v>
      </x:c>
      <x:c r="C1" s="26" t="str">
        <x:v>Primary Job</x:v>
      </x:c>
      <x:c r="D1" s="26" t="str">
        <x:v>Core Components</x:v>
      </x:c>
      <x:c r="E1" s="26" t="str">
        <x:v>Primary Events</x:v>
      </x:c>
      <x:c r="F1" s="26" t="str">
        <x:v>AI</x:v>
      </x:c>
      <x:c r="G1" s="26" t="str">
        <x:v>Critical Edge Cases</x:v>
      </x:c>
      <x:c r="H1" s="26" t="str">
        <x:v>Phase</x:v>
      </x:c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s="14" t="str">
        <x:v>Onboarding / Create Pet</x:v>
      </x:c>
      <x:c r="B2" s="14" t="str">
        <x:v>Yes</x:v>
      </x:c>
      <x:c r="C2" s="14" t="str">
        <x:v>在2分钟内创建可信Pet ID</x:v>
      </x:c>
      <x:c r="D2" s="14" t="str">
        <x:v>基础档案、头像、家庭、同意</x:v>
      </x:c>
      <x:c r="E2" s="14" t="str">
        <x:v>PetCreated, RelationshipCreated</x:v>
      </x:c>
      <x:c r="F2" s="14" t="str">
        <x:v>字段辅助/图像质量</x:v>
      </x:c>
      <x:c r="G2" s="14" t="str">
        <x:v>重复宠物、年龄未知、多宠</x:v>
      </x:c>
      <x:c r="H2" s="14" t="str">
        <x:v>v0.1</x:v>
      </x:c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</x:row>
    <x:row r="3">
      <x:c r="A3" s="14" t="str">
        <x:v>Today</x:v>
      </x:c>
      <x:c r="B3" s="14" t="str">
        <x:v>Yes</x:v>
      </x:c>
      <x:c r="C3" s="14" t="str">
        <x:v>知道今天完成了什么/还缺什么</x:v>
      </x:c>
      <x:c r="D3" s="14" t="str">
        <x:v>今日卡片、快速记录、任务、异常入口</x:v>
      </x:c>
      <x:c r="E3" s="14" t="str">
        <x:v>Meal/Drink/Walk/Task/Behavior</x:v>
      </x:c>
      <x:c r="F3" s="14" t="str">
        <x:v>摘要/冲突检测</x:v>
      </x:c>
      <x:c r="G3" s="14" t="str">
        <x:v>多人重复执行、离线</x:v>
      </x:c>
      <x:c r="H3" s="14" t="str">
        <x:v>v0.1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14" t="str">
        <x:v>Quick Log</x:v>
      </x:c>
      <x:c r="B4" s="14" t="str">
        <x:v>Yes</x:v>
      </x:c>
      <x:c r="C4" s="14" t="str">
        <x:v>10秒记录事件</x:v>
      </x:c>
      <x:c r="D4" s="14" t="str">
        <x:v>事件模板、时间、数量、人物、备注</x:v>
      </x:c>
      <x:c r="E4" s="14" t="str">
        <x:v>LifeEventCreated</x:v>
      </x:c>
      <x:c r="F4" s="14" t="str">
        <x:v>可选结构化</x:v>
      </x:c>
      <x:c r="G4" s="14" t="str">
        <x:v>误点、补录、重复</x:v>
      </x:c>
      <x:c r="H4" s="14" t="str">
        <x:v>v0.1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14" t="str">
        <x:v>Timeline</x:v>
      </x:c>
      <x:c r="B5" s="14" t="str">
        <x:v>Yes</x:v>
      </x:c>
      <x:c r="C5" s="14" t="str">
        <x:v>查看同一只宠物的连续历史</x:v>
      </x:c>
      <x:c r="D5" s="14" t="str">
        <x:v>事件流、筛选、媒体、来源</x:v>
      </x:c>
      <x:c r="E5" s="14" t="str">
        <x:v>TimelineViewed</x:v>
      </x:c>
      <x:c r="F5" s="14" t="str">
        <x:v>搜索预留</x:v>
      </x:c>
      <x:c r="G5" s="14" t="str">
        <x:v>跨时区、修改历史</x:v>
      </x:c>
      <x:c r="H5" s="14" t="str">
        <x:v>v0.1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14" t="str">
        <x:v>Care Network</x:v>
      </x:c>
      <x:c r="B6" s="14" t="str">
        <x:v>Yes</x:v>
      </x:c>
      <x:c r="C6" s="14" t="str">
        <x:v>共同照护且权限清晰</x:v>
      </x:c>
      <x:c r="D6" s="14" t="str">
        <x:v>成员、角色、临时权限、审计</x:v>
      </x:c>
      <x:c r="E6" s="14" t="str">
        <x:v>GrantChanged</x:v>
      </x:c>
      <x:c r="F6" s="14" t="str">
        <x:v>无</x:v>
      </x:c>
      <x:c r="G6" s="14" t="str">
        <x:v>临时权限过期、儿童账号</x:v>
      </x:c>
      <x:c r="H6" s="14" t="str">
        <x:v>v0.1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14" t="str">
        <x:v>Tasks</x:v>
      </x:c>
      <x:c r="B7" s="14" t="str">
        <x:v>Yes</x:v>
      </x:c>
      <x:c r="C7" s="14" t="str">
        <x:v>让照护任务可执行可追责</x:v>
      </x:c>
      <x:c r="D7" s="14" t="str">
        <x:v>重复任务、责任人、完成、冲突</x:v>
      </x:c>
      <x:c r="E7" s="14" t="str">
        <x:v>CareTask*</x:v>
      </x:c>
      <x:c r="F7" s="14" t="str">
        <x:v>规则</x:v>
      </x:c>
      <x:c r="G7" s="14" t="str">
        <x:v>重复喂药、多人同时操作</x:v>
      </x:c>
      <x:c r="H7" s="14" t="str">
        <x:v>v0.1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14" t="str">
        <x:v>Care Handoff / Card</x:v>
      </x:c>
      <x:c r="B8" s="14" t="str">
        <x:v>Yes</x:v>
      </x:c>
      <x:c r="C8" s="14" t="str">
        <x:v>临时照护安全交接</x:v>
      </x:c>
      <x:c r="D8" s="14" t="str">
        <x:v>起止时间、Care Card、联系人</x:v>
      </x:c>
      <x:c r="E8" s="14" t="str">
        <x:v>CareHandoff*</x:v>
      </x:c>
      <x:c r="F8" s="14" t="str">
        <x:v>摘要</x:v>
      </x:c>
      <x:c r="G8" s="14" t="str">
        <x:v>紧急访问、过期权限</x:v>
      </x:c>
      <x:c r="H8" s="14" t="str">
        <x:v>v0.1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14" t="str">
        <x:v>Behavior Event</x:v>
      </x:c>
      <x:c r="B9" s="14" t="str">
        <x:v>Yes</x:v>
      </x:c>
      <x:c r="C9" s="14" t="str">
        <x:v>记录可观察行为而非贴标签</x:v>
      </x:c>
      <x:c r="D9" s="14" t="str">
        <x:v>事件、对象、上下文、视频</x:v>
      </x:c>
      <x:c r="E9" s="14" t="str">
        <x:v>BehaviorEvent</x:v>
      </x:c>
      <x:c r="F9" s="14" t="str">
        <x:v>无/后续</x:v>
      </x:c>
      <x:c r="G9" s="14" t="str">
        <x:v>攻击事件、视频隐私</x:v>
      </x:c>
      <x:c r="H9" s="14" t="str">
        <x:v>v0.1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14" t="str">
        <x:v>Health Event</x:v>
      </x:c>
      <x:c r="B10" s="14" t="str">
        <x:v>Yes</x:v>
      </x:c>
      <x:c r="C10" s="14" t="str">
        <x:v>从异常到安全行动</x:v>
      </x:c>
      <x:c r="D10" s="14" t="str">
        <x:v>动态采集、证据、红旗、分级</x:v>
      </x:c>
      <x:c r="E10" s="14" t="str">
        <x:v>HealthEvent*</x:v>
      </x:c>
      <x:c r="F10" s="14" t="str">
        <x:v>LLM+规则</x:v>
      </x:c>
      <x:c r="G10" s="14" t="str">
        <x:v>急诊红旗、模型不确定</x:v>
      </x:c>
      <x:c r="H10" s="14" t="str">
        <x:v>v0.1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14" t="str">
        <x:v>Vet Brief</x:v>
      </x:c>
      <x:c r="B11" s="14" t="str">
        <x:v>Yes</x:v>
      </x:c>
      <x:c r="C11" s="14" t="str">
        <x:v>把主人信息变成医生可用摘要</x:v>
      </x:c>
      <x:c r="D11" s="14" t="str">
        <x:v>主诉、时间线、证据、药物、既往史</x:v>
      </x:c>
      <x:c r="E11" s="14" t="str">
        <x:v>VetBriefGenerated</x:v>
      </x:c>
      <x:c r="F11" s="14" t="str">
        <x:v>结构化摘要</x:v>
      </x:c>
      <x:c r="G11" s="14" t="str">
        <x:v>错误事实、撤销分享</x:v>
      </x:c>
      <x:c r="H11" s="14" t="str">
        <x:v>v0.1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14" t="str">
        <x:v>Medication</x:v>
      </x:c>
      <x:c r="B12" s="14" t="str">
        <x:v>Yes</x:v>
      </x:c>
      <x:c r="C12" s="14" t="str">
        <x:v>避免漏药/重复给药</x:v>
      </x:c>
      <x:c r="D12" s="14" t="str">
        <x:v>计划、完成、责任人、提醒</x:v>
      </x:c>
      <x:c r="E12" s="14" t="str">
        <x:v>Medication*</x:v>
      </x:c>
      <x:c r="F12" s="14" t="str">
        <x:v>规则</x:v>
      </x:c>
      <x:c r="G12" s="14" t="str">
        <x:v>剂量误录、多人重复</x:v>
      </x:c>
      <x:c r="H12" s="14" t="str">
        <x:v>v0.1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14" t="str">
        <x:v>Outcome / Follow-up</x:v>
      </x:c>
      <x:c r="B13" s="14" t="str">
        <x:v>Yes</x:v>
      </x:c>
      <x:c r="C13" s="14" t="str">
        <x:v>把一次事件闭成可学习结果</x:v>
      </x:c>
      <x:c r="D13" s="14" t="str">
        <x:v>恢复/未改善/复发/转诊</x:v>
      </x:c>
      <x:c r="E13" s="14" t="str">
        <x:v>HealthOutcome</x:v>
      </x:c>
      <x:c r="F13" s="14" t="str">
        <x:v>趋势后续</x:v>
      </x:c>
      <x:c r="G13" s="14" t="str">
        <x:v>失访、未确诊</x:v>
      </x:c>
      <x:c r="H13" s="14" t="str">
        <x:v>v0.1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14" t="str">
        <x:v>Notifications</x:v>
      </x:c>
      <x:c r="B14" s="14" t="str">
        <x:v>Yes</x:v>
      </x:c>
      <x:c r="C14" s="14" t="str">
        <x:v>只收到该收到的提醒</x:v>
      </x:c>
      <x:c r="D14" s="14" t="str">
        <x:v>严重度、角色、已读、合并</x:v>
      </x:c>
      <x:c r="E14" s="14" t="str">
        <x:v>NotificationCreated</x:v>
      </x:c>
      <x:c r="F14" s="14" t="str">
        <x:v>排序后续</x:v>
      </x:c>
      <x:c r="G14" s="14" t="str">
        <x:v>提醒轰炸、急诊遗漏</x:v>
      </x:c>
      <x:c r="H14" s="14" t="str">
        <x:v>v0.1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14" t="str">
        <x:v>Settings / Privacy</x:v>
      </x:c>
      <x:c r="B15" s="14" t="str">
        <x:v>Yes</x:v>
      </x:c>
      <x:c r="C15" s="14" t="str">
        <x:v>掌控数据和授权</x:v>
      </x:c>
      <x:c r="D15" s="14" t="str">
        <x:v>同意、导出/删除、会话安全</x:v>
      </x:c>
      <x:c r="E15" s="14" t="str">
        <x:v>ConsentChanged</x:v>
      </x:c>
      <x:c r="F15" s="14" t="str">
        <x:v>无</x:v>
      </x:c>
      <x:c r="G15" s="14" t="str">
        <x:v>撤回后的下游数据</x:v>
      </x:c>
      <x:c r="H15" s="14" t="str">
        <x:v>v0.1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14" t="str">
        <x:v>Training</x:v>
      </x:c>
      <x:c r="B16" s="14" t="str">
        <x:v>No</x:v>
      </x:c>
      <x:c r="C16" s="14" t="str">
        <x:v>目标→会话→掌握度</x:v>
      </x:c>
      <x:c r="D16" s="14" t="str">
        <x:v>目标、计划、会话、奖励</x:v>
      </x:c>
      <x:c r="E16" s="14" t="str">
        <x:v>Training*</x:v>
      </x:c>
      <x:c r="F16" s="14" t="str">
        <x:v>计划/统计</x:v>
      </x:c>
      <x:c r="G16" s="14" t="str">
        <x:v>高风险训练建议</x:v>
      </x:c>
      <x:c r="H16" s="14" t="str">
        <x:v>v0.2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14" t="str">
        <x:v>Pet Search / Ask</x:v>
      </x:c>
      <x:c r="B17" s="14" t="str">
        <x:v>No</x:v>
      </x:c>
      <x:c r="C17" s="14" t="str">
        <x:v>查找这只宠物的真实历史</x:v>
      </x:c>
      <x:c r="D17" s="14" t="str">
        <x:v>自然语言检索、证据引用</x:v>
      </x:c>
      <x:c r="E17" s="14" t="str">
        <x:v>LifeSearch/AgentQuery</x:v>
      </x:c>
      <x:c r="F17" s="14" t="str">
        <x:v>RAG</x:v>
      </x:c>
      <x:c r="G17" s="14" t="str">
        <x:v>幻觉、越权读取</x:v>
      </x:c>
      <x:c r="H17" s="14" t="str">
        <x:v>v0.2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14" t="str">
        <x:v>Social / Friends</x:v>
      </x:c>
      <x:c r="B18" s="14" t="str">
        <x:v>No</x:v>
      </x:c>
      <x:c r="C18" s="14" t="str">
        <x:v>建立真实互动关系</x:v>
      </x:c>
      <x:c r="D18" s="14" t="str">
        <x:v>好友、互动、反馈、隐私</x:v>
      </x:c>
      <x:c r="E18" s="14" t="str">
        <x:v>SocialInteraction</x:v>
      </x:c>
      <x:c r="F18" s="14" t="str">
        <x:v>排序后续</x:v>
      </x:c>
      <x:c r="G18" s="14" t="str">
        <x:v>骚扰、危险匹配</x:v>
      </x:c>
      <x:c r="H18" s="14" t="str">
        <x:v>v0.2→v1.0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14" t="str">
        <x:v>Device Hub</x:v>
      </x:c>
      <x:c r="B19" s="14" t="str">
        <x:v>No</x:v>
      </x:c>
      <x:c r="C19" s="14" t="str">
        <x:v>统一第三方设备事件</x:v>
      </x:c>
      <x:c r="D19" s="14" t="str">
        <x:v>账号、绑定、数据质量、归属</x:v>
      </x:c>
      <x:c r="E19" s="14" t="str">
        <x:v>Device*</x:v>
      </x:c>
      <x:c r="F19" s="14" t="str">
        <x:v>异常/归属</x:v>
      </x:c>
      <x:c r="G19" s="14" t="str">
        <x:v>断连、重复、多宠混淆</x:v>
      </x:c>
      <x:c r="H19" s="14" t="str">
        <x:v>v1.0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14" t="str">
        <x:v>Services</x:v>
      </x:c>
      <x:c r="B20" s="14" t="str">
        <x:v>No</x:v>
      </x:c>
      <x:c r="C20" s="14" t="str">
        <x:v>让服务真正认识宠物</x:v>
      </x:c>
      <x:c r="D20" s="14" t="str">
        <x:v>需求画像、Care Card、预约、Outcome</x:v>
      </x:c>
      <x:c r="E20" s="14" t="str">
        <x:v>Service*</x:v>
      </x:c>
      <x:c r="F20" s="14" t="str">
        <x:v>匹配/摘要</x:v>
      </x:c>
      <x:c r="G20" s="14" t="str">
        <x:v>事故、责任、支付</x:v>
      </x:c>
      <x:c r="H20" s="14" t="str">
        <x:v>v1.0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14" t="str">
        <x:v>Welfare</x:v>
      </x:c>
      <x:c r="B21" s="14" t="str">
        <x:v>No</x:v>
      </x:c>
      <x:c r="C21" s="14" t="str">
        <x:v>用证据描述生活质量</x:v>
      </x:c>
      <x:c r="D21" s="14" t="str">
        <x:v>五域、丰富化、环境、恢复</x:v>
      </x:c>
      <x:c r="E21" s="14" t="str">
        <x:v>Welfare*</x:v>
      </x:c>
      <x:c r="F21" s="14" t="str">
        <x:v>趋势</x:v>
      </x:c>
      <x:c r="G21" s="14" t="str">
        <x:v>过度心理诊断</x:v>
      </x:c>
      <x:c r="H21" s="14" t="str">
        <x:v>v1.0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14" t="str">
        <x:v>Commerce</x:v>
      </x:c>
      <x:c r="B22" s="14" t="str">
        <x:v>No</x:v>
      </x:c>
      <x:c r="C22" s="14" t="str">
        <x:v>根据真实使用结果推荐</x:v>
      </x:c>
      <x:c r="D22" s="14" t="str">
        <x:v>约束、使用、Outcome、披露</x:v>
      </x:c>
      <x:c r="E22" s="14" t="str">
        <x:v>Product*</x:v>
      </x:c>
      <x:c r="F22" s="14" t="str">
        <x:v>推荐</x:v>
      </x:c>
      <x:c r="G22" s="14" t="str">
        <x:v>医疗利益冲突</x:v>
      </x:c>
      <x:c r="H22" s="14" t="str">
        <x:v>v1.0+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14" t="str">
        <x:v>Finance / Insurance</x:v>
      </x:c>
      <x:c r="B23" s="14" t="str">
        <x:v>No</x:v>
      </x:c>
      <x:c r="C23" s="14" t="str">
        <x:v>费用、权益、理赔可追踪</x:v>
      </x:c>
      <x:c r="D23" s="14" t="str">
        <x:v>账本、保单、材料包</x:v>
      </x:c>
      <x:c r="E23" s="14" t="str">
        <x:v>Expense/Claim*</x:v>
      </x:c>
      <x:c r="F23" s="14" t="str">
        <x:v>整理</x:v>
      </x:c>
      <x:c r="G23" s="14" t="str">
        <x:v>支付授权、保险解释</x:v>
      </x:c>
      <x:c r="H23" s="14" t="str">
        <x:v>v1.0+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14" t="str">
        <x:v>Life Archive</x:v>
      </x:c>
      <x:c r="B24" s="14" t="str">
        <x:v>No</x:v>
      </x:c>
      <x:c r="C24" s="14" t="str">
        <x:v>保存真实生命故事</x:v>
      </x:c>
      <x:c r="D24" s="14" t="str">
        <x:v>年度回顾、档案、纪念</x:v>
      </x:c>
      <x:c r="E24" s="14" t="str">
        <x:v>LifeArchive*</x:v>
      </x:c>
      <x:c r="F24" s="14" t="str">
        <x:v>叙事摘要</x:v>
      </x:c>
      <x:c r="G24" s="14" t="str">
        <x:v>虚构情感、哀伤敏感</x:v>
      </x:c>
      <x:c r="H24" s="14" t="str">
        <x:v>Future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14" t="str">
        <x:v>Adoption / Rescue</x:v>
      </x:c>
      <x:c r="B25" s="14" t="str">
        <x:v>No</x:v>
      </x:c>
      <x:c r="C25" s="14" t="str">
        <x:v>身份连续和领养后稳定</x:v>
      </x:c>
      <x:c r="D25" s="14" t="str">
        <x:v>来源、寄养、匹配、随访</x:v>
      </x:c>
      <x:c r="E25" s="14" t="str">
        <x:v>Adoption*</x:v>
      </x:c>
      <x:c r="F25" s="14" t="str">
        <x:v>匹配</x:v>
      </x:c>
      <x:c r="G25" s="14" t="str">
        <x:v>歧视性匹配、所有权争议</x:v>
      </x:c>
      <x:c r="H25" s="14" t="str">
        <x:v>Future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25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25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25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25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25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25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25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25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25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25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25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25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25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25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25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25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25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25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25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25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25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25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25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25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25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25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25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25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25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25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25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25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25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25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25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25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25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25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25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25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25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25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25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25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25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25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25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25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25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25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25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25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25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25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25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25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25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25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25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25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25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25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25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25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25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25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25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25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25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25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25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25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25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25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25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25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25"/>
      <x:c r="B201" s="25"/>
      <x:c r="C201" s="25"/>
      <x:c r="D201" s="25"/>
      <x:c r="E201" s="25"/>
      <x:c r="F201" s="25"/>
      <x:c r="G201" s="25"/>
      <x:c r="H201" s="25"/>
      <x:c r="I201" s="25"/>
      <x:c r="J201" s="25"/>
      <x:c r="K201" s="25"/>
      <x:c r="L201" s="25"/>
      <x:c r="M201" s="25"/>
      <x:c r="N201" s="25"/>
      <x:c r="O201" s="25"/>
      <x:c r="P201" s="25"/>
      <x:c r="Q201" s="25"/>
      <x:c r="R201" s="25"/>
      <x:c r="S201" s="25"/>
      <x:c r="T201" s="25"/>
      <x:c r="U201" s="25"/>
      <x:c r="V201" s="25"/>
      <x:c r="W201" s="25"/>
      <x:c r="X201" s="25"/>
      <x:c r="Y201" s="25"/>
      <x:c r="Z201" s="25"/>
    </x:row>
    <x:row r="202">
      <x:c r="A202" s="25"/>
      <x:c r="B202" s="25"/>
      <x:c r="C202" s="25"/>
      <x:c r="D202" s="25"/>
      <x:c r="E202" s="25"/>
      <x:c r="F202" s="25"/>
      <x:c r="G202" s="25"/>
      <x:c r="H202" s="25"/>
      <x:c r="I202" s="25"/>
      <x:c r="J202" s="25"/>
      <x:c r="K202" s="25"/>
      <x:c r="L202" s="25"/>
      <x:c r="M202" s="25"/>
      <x:c r="N202" s="25"/>
      <x:c r="O202" s="25"/>
      <x:c r="P202" s="25"/>
      <x:c r="Q202" s="25"/>
      <x:c r="R202" s="25"/>
      <x:c r="S202" s="25"/>
      <x:c r="T202" s="25"/>
      <x:c r="U202" s="25"/>
      <x:c r="V202" s="25"/>
      <x:c r="W202" s="25"/>
      <x:c r="X202" s="25"/>
      <x:c r="Y202" s="25"/>
      <x:c r="Z202" s="25"/>
    </x:row>
    <x:row r="203">
      <x:c r="A203" s="25"/>
      <x:c r="B203" s="25"/>
      <x:c r="C203" s="25"/>
      <x:c r="D203" s="25"/>
      <x:c r="E203" s="25"/>
      <x:c r="F203" s="25"/>
      <x:c r="G203" s="25"/>
      <x:c r="H203" s="25"/>
      <x:c r="I203" s="25"/>
      <x:c r="J203" s="25"/>
      <x:c r="K203" s="25"/>
      <x:c r="L203" s="25"/>
      <x:c r="M203" s="25"/>
      <x:c r="N203" s="25"/>
      <x:c r="O203" s="25"/>
      <x:c r="P203" s="25"/>
      <x:c r="Q203" s="25"/>
      <x:c r="R203" s="25"/>
      <x:c r="S203" s="25"/>
      <x:c r="T203" s="25"/>
      <x:c r="U203" s="25"/>
      <x:c r="V203" s="25"/>
      <x:c r="W203" s="25"/>
      <x:c r="X203" s="25"/>
      <x:c r="Y203" s="25"/>
      <x:c r="Z203" s="25"/>
    </x:row>
    <x:row r="204">
      <x:c r="A204" s="25"/>
      <x:c r="B204" s="25"/>
      <x:c r="C204" s="25"/>
      <x:c r="D204" s="25"/>
      <x:c r="E204" s="25"/>
      <x:c r="F204" s="25"/>
      <x:c r="G204" s="25"/>
      <x:c r="H204" s="25"/>
      <x:c r="I204" s="25"/>
      <x:c r="J204" s="25"/>
      <x:c r="K204" s="25"/>
      <x:c r="L204" s="25"/>
      <x:c r="M204" s="25"/>
      <x:c r="N204" s="25"/>
      <x:c r="O204" s="25"/>
      <x:c r="P204" s="25"/>
      <x:c r="Q204" s="25"/>
      <x:c r="R204" s="25"/>
      <x:c r="S204" s="25"/>
      <x:c r="T204" s="25"/>
      <x:c r="U204" s="25"/>
      <x:c r="V204" s="25"/>
      <x:c r="W204" s="25"/>
      <x:c r="X204" s="25"/>
      <x:c r="Y204" s="25"/>
      <x:c r="Z204" s="25"/>
    </x:row>
    <x:row r="205">
      <x:c r="A205" s="25"/>
      <x:c r="B205" s="25"/>
      <x:c r="C205" s="25"/>
      <x:c r="D205" s="25"/>
      <x:c r="E205" s="25"/>
      <x:c r="F205" s="25"/>
      <x:c r="G205" s="25"/>
      <x:c r="H205" s="25"/>
      <x:c r="I205" s="25"/>
      <x:c r="J205" s="25"/>
      <x:c r="K205" s="25"/>
      <x:c r="L205" s="25"/>
      <x:c r="M205" s="25"/>
      <x:c r="N205" s="25"/>
      <x:c r="O205" s="25"/>
      <x:c r="P205" s="25"/>
      <x:c r="Q205" s="25"/>
      <x:c r="R205" s="25"/>
      <x:c r="S205" s="25"/>
      <x:c r="T205" s="25"/>
      <x:c r="U205" s="25"/>
      <x:c r="V205" s="25"/>
      <x:c r="W205" s="25"/>
      <x:c r="X205" s="25"/>
      <x:c r="Y205" s="25"/>
      <x:c r="Z205" s="25"/>
    </x:row>
    <x:row r="206">
      <x:c r="A206" s="25"/>
      <x:c r="B206" s="25"/>
      <x:c r="C206" s="25"/>
      <x:c r="D206" s="25"/>
      <x:c r="E206" s="25"/>
      <x:c r="F206" s="25"/>
      <x:c r="G206" s="25"/>
      <x:c r="H206" s="25"/>
      <x:c r="I206" s="25"/>
      <x:c r="J206" s="25"/>
      <x:c r="K206" s="25"/>
      <x:c r="L206" s="25"/>
      <x:c r="M206" s="25"/>
      <x:c r="N206" s="25"/>
      <x:c r="O206" s="25"/>
      <x:c r="P206" s="25"/>
      <x:c r="Q206" s="25"/>
      <x:c r="R206" s="25"/>
      <x:c r="S206" s="25"/>
      <x:c r="T206" s="25"/>
      <x:c r="U206" s="25"/>
      <x:c r="V206" s="25"/>
      <x:c r="W206" s="25"/>
      <x:c r="X206" s="25"/>
      <x:c r="Y206" s="25"/>
      <x:c r="Z206" s="25"/>
    </x:row>
    <x:row r="207">
      <x:c r="A207" s="25"/>
      <x:c r="B207" s="25"/>
      <x:c r="C207" s="25"/>
      <x:c r="D207" s="25"/>
      <x:c r="E207" s="25"/>
      <x:c r="F207" s="25"/>
      <x:c r="G207" s="25"/>
      <x:c r="H207" s="25"/>
      <x:c r="I207" s="25"/>
      <x:c r="J207" s="25"/>
      <x:c r="K207" s="25"/>
      <x:c r="L207" s="25"/>
      <x:c r="M207" s="25"/>
      <x:c r="N207" s="25"/>
      <x:c r="O207" s="25"/>
      <x:c r="P207" s="25"/>
      <x:c r="Q207" s="25"/>
      <x:c r="R207" s="25"/>
      <x:c r="S207" s="25"/>
      <x:c r="T207" s="25"/>
      <x:c r="U207" s="25"/>
      <x:c r="V207" s="25"/>
      <x:c r="W207" s="25"/>
      <x:c r="X207" s="25"/>
      <x:c r="Y207" s="25"/>
      <x:c r="Z207" s="25"/>
    </x:row>
    <x:row r="208">
      <x:c r="A208" s="25"/>
      <x:c r="B208" s="25"/>
      <x:c r="C208" s="25"/>
      <x:c r="D208" s="25"/>
      <x:c r="E208" s="25"/>
      <x:c r="F208" s="25"/>
      <x:c r="G208" s="25"/>
      <x:c r="H208" s="25"/>
      <x:c r="I208" s="25"/>
      <x:c r="J208" s="25"/>
      <x:c r="K208" s="25"/>
      <x:c r="L208" s="25"/>
      <x:c r="M208" s="25"/>
      <x:c r="N208" s="25"/>
      <x:c r="O208" s="25"/>
      <x:c r="P208" s="25"/>
      <x:c r="Q208" s="25"/>
      <x:c r="R208" s="25"/>
      <x:c r="S208" s="25"/>
      <x:c r="T208" s="25"/>
      <x:c r="U208" s="25"/>
      <x:c r="V208" s="25"/>
      <x:c r="W208" s="25"/>
      <x:c r="X208" s="25"/>
      <x:c r="Y208" s="25"/>
      <x:c r="Z208" s="25"/>
    </x:row>
    <x:row r="209">
      <x:c r="A209" s="25"/>
      <x:c r="B209" s="25"/>
      <x:c r="C209" s="25"/>
      <x:c r="D209" s="25"/>
      <x:c r="E209" s="25"/>
      <x:c r="F209" s="25"/>
      <x:c r="G209" s="25"/>
      <x:c r="H209" s="25"/>
      <x:c r="I209" s="25"/>
      <x:c r="J209" s="25"/>
      <x:c r="K209" s="25"/>
      <x:c r="L209" s="25"/>
      <x:c r="M209" s="25"/>
      <x:c r="N209" s="25"/>
      <x:c r="O209" s="25"/>
      <x:c r="P209" s="25"/>
      <x:c r="Q209" s="25"/>
      <x:c r="R209" s="25"/>
      <x:c r="S209" s="25"/>
      <x:c r="T209" s="25"/>
      <x:c r="U209" s="25"/>
      <x:c r="V209" s="25"/>
      <x:c r="W209" s="25"/>
      <x:c r="X209" s="25"/>
      <x:c r="Y209" s="25"/>
      <x:c r="Z209" s="25"/>
    </x:row>
    <x:row r="210">
      <x:c r="A210" s="25"/>
      <x:c r="B210" s="25"/>
      <x:c r="C210" s="25"/>
      <x:c r="D210" s="25"/>
      <x:c r="E210" s="25"/>
      <x:c r="F210" s="25"/>
      <x:c r="G210" s="25"/>
      <x:c r="H210" s="25"/>
      <x:c r="I210" s="25"/>
      <x:c r="J210" s="25"/>
      <x:c r="K210" s="25"/>
      <x:c r="L210" s="25"/>
      <x:c r="M210" s="25"/>
      <x:c r="N210" s="25"/>
      <x:c r="O210" s="25"/>
      <x:c r="P210" s="25"/>
      <x:c r="Q210" s="25"/>
      <x:c r="R210" s="25"/>
      <x:c r="S210" s="25"/>
      <x:c r="T210" s="25"/>
      <x:c r="U210" s="25"/>
      <x:c r="V210" s="25"/>
      <x:c r="W210" s="25"/>
      <x:c r="X210" s="25"/>
      <x:c r="Y210" s="25"/>
      <x:c r="Z210" s="25"/>
    </x:row>
    <x:row r="211">
      <x:c r="A211" s="25"/>
      <x:c r="B211" s="25"/>
      <x:c r="C211" s="25"/>
      <x:c r="D211" s="25"/>
      <x:c r="E211" s="25"/>
      <x:c r="F211" s="25"/>
      <x:c r="G211" s="25"/>
      <x:c r="H211" s="25"/>
      <x:c r="I211" s="25"/>
      <x:c r="J211" s="25"/>
      <x:c r="K211" s="25"/>
      <x:c r="L211" s="25"/>
      <x:c r="M211" s="25"/>
      <x:c r="N211" s="25"/>
      <x:c r="O211" s="25"/>
      <x:c r="P211" s="25"/>
      <x:c r="Q211" s="25"/>
      <x:c r="R211" s="25"/>
      <x:c r="S211" s="25"/>
      <x:c r="T211" s="25"/>
      <x:c r="U211" s="25"/>
      <x:c r="V211" s="25"/>
      <x:c r="W211" s="25"/>
      <x:c r="X211" s="25"/>
      <x:c r="Y211" s="25"/>
      <x:c r="Z211" s="25"/>
    </x:row>
    <x:row r="212">
      <x:c r="A212" s="25"/>
      <x:c r="B212" s="25"/>
      <x:c r="C212" s="25"/>
      <x:c r="D212" s="25"/>
      <x:c r="E212" s="25"/>
      <x:c r="F212" s="25"/>
      <x:c r="G212" s="25"/>
      <x:c r="H212" s="25"/>
      <x:c r="I212" s="25"/>
      <x:c r="J212" s="25"/>
      <x:c r="K212" s="25"/>
      <x:c r="L212" s="25"/>
      <x:c r="M212" s="25"/>
      <x:c r="N212" s="25"/>
      <x:c r="O212" s="25"/>
      <x:c r="P212" s="25"/>
      <x:c r="Q212" s="25"/>
      <x:c r="R212" s="25"/>
      <x:c r="S212" s="25"/>
      <x:c r="T212" s="25"/>
      <x:c r="U212" s="25"/>
      <x:c r="V212" s="25"/>
      <x:c r="W212" s="25"/>
      <x:c r="X212" s="25"/>
      <x:c r="Y212" s="25"/>
      <x:c r="Z212" s="25"/>
    </x:row>
    <x:row r="213">
      <x:c r="A213" s="25"/>
      <x:c r="B213" s="25"/>
      <x:c r="C213" s="25"/>
      <x:c r="D213" s="25"/>
      <x:c r="E213" s="25"/>
      <x:c r="F213" s="25"/>
      <x:c r="G213" s="25"/>
      <x:c r="H213" s="25"/>
      <x:c r="I213" s="25"/>
      <x:c r="J213" s="25"/>
      <x:c r="K213" s="25"/>
      <x:c r="L213" s="25"/>
      <x:c r="M213" s="25"/>
      <x:c r="N213" s="25"/>
      <x:c r="O213" s="25"/>
      <x:c r="P213" s="25"/>
      <x:c r="Q213" s="25"/>
      <x:c r="R213" s="25"/>
      <x:c r="S213" s="25"/>
      <x:c r="T213" s="25"/>
      <x:c r="U213" s="25"/>
      <x:c r="V213" s="25"/>
      <x:c r="W213" s="25"/>
      <x:c r="X213" s="25"/>
      <x:c r="Y213" s="25"/>
      <x:c r="Z213" s="25"/>
    </x:row>
    <x:row r="214">
      <x:c r="A214" s="25"/>
      <x:c r="B214" s="25"/>
      <x:c r="C214" s="25"/>
      <x:c r="D214" s="25"/>
      <x:c r="E214" s="25"/>
      <x:c r="F214" s="25"/>
      <x:c r="G214" s="25"/>
      <x:c r="H214" s="25"/>
      <x:c r="I214" s="25"/>
      <x:c r="J214" s="25"/>
      <x:c r="K214" s="25"/>
      <x:c r="L214" s="25"/>
      <x:c r="M214" s="25"/>
      <x:c r="N214" s="25"/>
      <x:c r="O214" s="25"/>
      <x:c r="P214" s="25"/>
      <x:c r="Q214" s="25"/>
      <x:c r="R214" s="25"/>
      <x:c r="S214" s="25"/>
      <x:c r="T214" s="25"/>
      <x:c r="U214" s="25"/>
      <x:c r="V214" s="25"/>
      <x:c r="W214" s="25"/>
      <x:c r="X214" s="25"/>
      <x:c r="Y214" s="25"/>
      <x:c r="Z214" s="25"/>
    </x:row>
    <x:row r="215">
      <x:c r="A215" s="25"/>
      <x:c r="B215" s="25"/>
      <x:c r="C215" s="25"/>
      <x:c r="D215" s="25"/>
      <x:c r="E215" s="25"/>
      <x:c r="F215" s="25"/>
      <x:c r="G215" s="25"/>
      <x:c r="H215" s="25"/>
      <x:c r="I215" s="25"/>
      <x:c r="J215" s="25"/>
      <x:c r="K215" s="25"/>
      <x:c r="L215" s="25"/>
      <x:c r="M215" s="25"/>
      <x:c r="N215" s="25"/>
      <x:c r="O215" s="25"/>
      <x:c r="P215" s="25"/>
      <x:c r="Q215" s="25"/>
      <x:c r="R215" s="25"/>
      <x:c r="S215" s="25"/>
      <x:c r="T215" s="25"/>
      <x:c r="U215" s="25"/>
      <x:c r="V215" s="25"/>
      <x:c r="W215" s="25"/>
      <x:c r="X215" s="25"/>
      <x:c r="Y215" s="25"/>
      <x:c r="Z215" s="25"/>
    </x:row>
    <x:row r="216">
      <x:c r="A216" s="25"/>
      <x:c r="B216" s="25"/>
      <x:c r="C216" s="25"/>
      <x:c r="D216" s="25"/>
      <x:c r="E216" s="25"/>
      <x:c r="F216" s="25"/>
      <x:c r="G216" s="25"/>
      <x:c r="H216" s="25"/>
      <x:c r="I216" s="25"/>
      <x:c r="J216" s="25"/>
      <x:c r="K216" s="25"/>
      <x:c r="L216" s="25"/>
      <x:c r="M216" s="25"/>
      <x:c r="N216" s="25"/>
      <x:c r="O216" s="25"/>
      <x:c r="P216" s="25"/>
      <x:c r="Q216" s="25"/>
      <x:c r="R216" s="25"/>
      <x:c r="S216" s="25"/>
      <x:c r="T216" s="25"/>
      <x:c r="U216" s="25"/>
      <x:c r="V216" s="25"/>
      <x:c r="W216" s="25"/>
      <x:c r="X216" s="25"/>
      <x:c r="Y216" s="25"/>
      <x:c r="Z216" s="25"/>
    </x:row>
    <x:row r="217">
      <x:c r="A217" s="25"/>
      <x:c r="B217" s="25"/>
      <x:c r="C217" s="25"/>
      <x:c r="D217" s="25"/>
      <x:c r="E217" s="25"/>
      <x:c r="F217" s="25"/>
      <x:c r="G217" s="25"/>
      <x:c r="H217" s="25"/>
      <x:c r="I217" s="25"/>
      <x:c r="J217" s="25"/>
      <x:c r="K217" s="25"/>
      <x:c r="L217" s="25"/>
      <x:c r="M217" s="25"/>
      <x:c r="N217" s="25"/>
      <x:c r="O217" s="25"/>
      <x:c r="P217" s="25"/>
      <x:c r="Q217" s="25"/>
      <x:c r="R217" s="25"/>
      <x:c r="S217" s="25"/>
      <x:c r="T217" s="25"/>
      <x:c r="U217" s="25"/>
      <x:c r="V217" s="25"/>
      <x:c r="W217" s="25"/>
      <x:c r="X217" s="25"/>
      <x:c r="Y217" s="25"/>
      <x:c r="Z217" s="25"/>
    </x:row>
    <x:row r="218">
      <x:c r="A218" s="25"/>
      <x:c r="B218" s="25"/>
      <x:c r="C218" s="25"/>
      <x:c r="D218" s="25"/>
      <x:c r="E218" s="25"/>
      <x:c r="F218" s="25"/>
      <x:c r="G218" s="25"/>
      <x:c r="H218" s="25"/>
      <x:c r="I218" s="25"/>
      <x:c r="J218" s="25"/>
      <x:c r="K218" s="25"/>
      <x:c r="L218" s="25"/>
      <x:c r="M218" s="25"/>
      <x:c r="N218" s="25"/>
      <x:c r="O218" s="25"/>
      <x:c r="P218" s="25"/>
      <x:c r="Q218" s="25"/>
      <x:c r="R218" s="25"/>
      <x:c r="S218" s="25"/>
      <x:c r="T218" s="25"/>
      <x:c r="U218" s="25"/>
      <x:c r="V218" s="25"/>
      <x:c r="W218" s="25"/>
      <x:c r="X218" s="25"/>
      <x:c r="Y218" s="25"/>
      <x:c r="Z218" s="25"/>
    </x:row>
    <x:row r="219">
      <x:c r="A219" s="25"/>
      <x:c r="B219" s="25"/>
      <x:c r="C219" s="25"/>
      <x:c r="D219" s="25"/>
      <x:c r="E219" s="25"/>
      <x:c r="F219" s="25"/>
      <x:c r="G219" s="25"/>
      <x:c r="H219" s="25"/>
      <x:c r="I219" s="25"/>
      <x:c r="J219" s="25"/>
      <x:c r="K219" s="25"/>
      <x:c r="L219" s="25"/>
      <x:c r="M219" s="25"/>
      <x:c r="N219" s="25"/>
      <x:c r="O219" s="25"/>
      <x:c r="P219" s="25"/>
      <x:c r="Q219" s="25"/>
      <x:c r="R219" s="25"/>
      <x:c r="S219" s="25"/>
      <x:c r="T219" s="25"/>
      <x:c r="U219" s="25"/>
      <x:c r="V219" s="25"/>
      <x:c r="W219" s="25"/>
      <x:c r="X219" s="25"/>
      <x:c r="Y219" s="25"/>
      <x:c r="Z219" s="25"/>
    </x:row>
    <x:row r="220">
      <x:c r="A220" s="25"/>
      <x:c r="B220" s="25"/>
      <x:c r="C220" s="25"/>
      <x:c r="D220" s="25"/>
      <x:c r="E220" s="25"/>
      <x:c r="F220" s="25"/>
      <x:c r="G220" s="25"/>
      <x:c r="H220" s="25"/>
      <x:c r="I220" s="25"/>
      <x:c r="J220" s="25"/>
      <x:c r="K220" s="25"/>
      <x:c r="L220" s="25"/>
      <x:c r="M220" s="25"/>
      <x:c r="N220" s="25"/>
      <x:c r="O220" s="25"/>
      <x:c r="P220" s="25"/>
      <x:c r="Q220" s="25"/>
      <x:c r="R220" s="25"/>
      <x:c r="S220" s="25"/>
      <x:c r="T220" s="25"/>
      <x:c r="U220" s="25"/>
      <x:c r="V220" s="25"/>
      <x:c r="W220" s="25"/>
      <x:c r="X220" s="25"/>
      <x:c r="Y220" s="25"/>
      <x:c r="Z220" s="25"/>
    </x:row>
    <x:row r="221">
      <x:c r="A221" s="25"/>
      <x:c r="B221" s="25"/>
      <x:c r="C221" s="25"/>
      <x:c r="D221" s="25"/>
      <x:c r="E221" s="25"/>
      <x:c r="F221" s="25"/>
      <x:c r="G221" s="25"/>
      <x:c r="H221" s="25"/>
      <x:c r="I221" s="25"/>
      <x:c r="J221" s="25"/>
      <x:c r="K221" s="25"/>
      <x:c r="L221" s="25"/>
      <x:c r="M221" s="25"/>
      <x:c r="N221" s="25"/>
      <x:c r="O221" s="25"/>
      <x:c r="P221" s="25"/>
      <x:c r="Q221" s="25"/>
      <x:c r="R221" s="25"/>
      <x:c r="S221" s="25"/>
      <x:c r="T221" s="25"/>
      <x:c r="U221" s="25"/>
      <x:c r="V221" s="25"/>
      <x:c r="W221" s="25"/>
      <x:c r="X221" s="25"/>
      <x:c r="Y221" s="25"/>
      <x:c r="Z221" s="25"/>
    </x:row>
    <x:row r="222">
      <x:c r="A222" s="25"/>
      <x:c r="B222" s="25"/>
      <x:c r="C222" s="25"/>
      <x:c r="D222" s="25"/>
      <x:c r="E222" s="25"/>
      <x:c r="F222" s="25"/>
      <x:c r="G222" s="25"/>
      <x:c r="H222" s="25"/>
      <x:c r="I222" s="25"/>
      <x:c r="J222" s="25"/>
      <x:c r="K222" s="25"/>
      <x:c r="L222" s="25"/>
      <x:c r="M222" s="25"/>
      <x:c r="N222" s="25"/>
      <x:c r="O222" s="25"/>
      <x:c r="P222" s="25"/>
      <x:c r="Q222" s="25"/>
      <x:c r="R222" s="25"/>
      <x:c r="S222" s="25"/>
      <x:c r="T222" s="25"/>
      <x:c r="U222" s="25"/>
      <x:c r="V222" s="25"/>
      <x:c r="W222" s="25"/>
      <x:c r="X222" s="25"/>
      <x:c r="Y222" s="25"/>
      <x:c r="Z222" s="25"/>
    </x:row>
    <x:row r="223">
      <x:c r="A223" s="25"/>
      <x:c r="B223" s="25"/>
      <x:c r="C223" s="25"/>
      <x:c r="D223" s="25"/>
      <x:c r="E223" s="25"/>
      <x:c r="F223" s="25"/>
      <x:c r="G223" s="25"/>
      <x:c r="H223" s="25"/>
      <x:c r="I223" s="25"/>
      <x:c r="J223" s="25"/>
      <x:c r="K223" s="25"/>
      <x:c r="L223" s="25"/>
      <x:c r="M223" s="25"/>
      <x:c r="N223" s="25"/>
      <x:c r="O223" s="25"/>
      <x:c r="P223" s="25"/>
      <x:c r="Q223" s="25"/>
      <x:c r="R223" s="25"/>
      <x:c r="S223" s="25"/>
      <x:c r="T223" s="25"/>
      <x:c r="U223" s="25"/>
      <x:c r="V223" s="25"/>
      <x:c r="W223" s="25"/>
      <x:c r="X223" s="25"/>
      <x:c r="Y223" s="25"/>
      <x:c r="Z223" s="25"/>
    </x:row>
    <x:row r="224">
      <x:c r="A224" s="25"/>
      <x:c r="B224" s="25"/>
      <x:c r="C224" s="25"/>
      <x:c r="D224" s="25"/>
      <x:c r="E224" s="25"/>
      <x:c r="F224" s="25"/>
      <x:c r="G224" s="25"/>
      <x:c r="H224" s="25"/>
      <x:c r="I224" s="25"/>
      <x:c r="J224" s="25"/>
      <x:c r="K224" s="25"/>
      <x:c r="L224" s="25"/>
      <x:c r="M224" s="25"/>
      <x:c r="N224" s="25"/>
      <x:c r="O224" s="25"/>
      <x:c r="P224" s="25"/>
      <x:c r="Q224" s="25"/>
      <x:c r="R224" s="25"/>
      <x:c r="S224" s="25"/>
      <x:c r="T224" s="25"/>
      <x:c r="U224" s="25"/>
      <x:c r="V224" s="25"/>
      <x:c r="W224" s="25"/>
      <x:c r="X224" s="25"/>
      <x:c r="Y224" s="25"/>
      <x:c r="Z224" s="25"/>
    </x:row>
    <x:row r="225">
      <x:c r="A225" s="25"/>
      <x:c r="B225" s="25"/>
      <x:c r="C225" s="25"/>
      <x:c r="D225" s="25"/>
      <x:c r="E225" s="25"/>
      <x:c r="F225" s="25"/>
      <x:c r="G225" s="25"/>
      <x:c r="H225" s="25"/>
      <x:c r="I225" s="25"/>
      <x:c r="J225" s="25"/>
      <x:c r="K225" s="25"/>
      <x:c r="L225" s="25"/>
      <x:c r="M225" s="25"/>
      <x:c r="N225" s="25"/>
      <x:c r="O225" s="25"/>
      <x:c r="P225" s="25"/>
      <x:c r="Q225" s="25"/>
      <x:c r="R225" s="25"/>
      <x:c r="S225" s="25"/>
      <x:c r="T225" s="25"/>
      <x:c r="U225" s="25"/>
      <x:c r="V225" s="25"/>
      <x:c r="W225" s="25"/>
      <x:c r="X225" s="25"/>
      <x:c r="Y225" s="25"/>
      <x:c r="Z225" s="25"/>
    </x:row>
    <x:row r="226">
      <x:c r="A226" s="25"/>
      <x:c r="B226" s="25"/>
      <x:c r="C226" s="25"/>
      <x:c r="D226" s="25"/>
      <x:c r="E226" s="25"/>
      <x:c r="F226" s="25"/>
      <x:c r="G226" s="25"/>
      <x:c r="H226" s="25"/>
      <x:c r="I226" s="25"/>
      <x:c r="J226" s="25"/>
      <x:c r="K226" s="25"/>
      <x:c r="L226" s="25"/>
      <x:c r="M226" s="25"/>
      <x:c r="N226" s="25"/>
      <x:c r="O226" s="25"/>
      <x:c r="P226" s="25"/>
      <x:c r="Q226" s="25"/>
      <x:c r="R226" s="25"/>
      <x:c r="S226" s="25"/>
      <x:c r="T226" s="25"/>
      <x:c r="U226" s="25"/>
      <x:c r="V226" s="25"/>
      <x:c r="W226" s="25"/>
      <x:c r="X226" s="25"/>
      <x:c r="Y226" s="25"/>
      <x:c r="Z226" s="25"/>
    </x:row>
    <x:row r="227">
      <x:c r="A227" s="25"/>
      <x:c r="B227" s="25"/>
      <x:c r="C227" s="25"/>
      <x:c r="D227" s="25"/>
      <x:c r="E227" s="25"/>
      <x:c r="F227" s="25"/>
      <x:c r="G227" s="25"/>
      <x:c r="H227" s="25"/>
      <x:c r="I227" s="25"/>
      <x:c r="J227" s="25"/>
      <x:c r="K227" s="25"/>
      <x:c r="L227" s="25"/>
      <x:c r="M227" s="25"/>
      <x:c r="N227" s="25"/>
      <x:c r="O227" s="25"/>
      <x:c r="P227" s="25"/>
      <x:c r="Q227" s="25"/>
      <x:c r="R227" s="25"/>
      <x:c r="S227" s="25"/>
      <x:c r="T227" s="25"/>
      <x:c r="U227" s="25"/>
      <x:c r="V227" s="25"/>
      <x:c r="W227" s="25"/>
      <x:c r="X227" s="25"/>
      <x:c r="Y227" s="25"/>
      <x:c r="Z227" s="25"/>
    </x:row>
    <x:row r="228">
      <x:c r="A228" s="25"/>
      <x:c r="B228" s="25"/>
      <x:c r="C228" s="25"/>
      <x:c r="D228" s="25"/>
      <x:c r="E228" s="25"/>
      <x:c r="F228" s="25"/>
      <x:c r="G228" s="25"/>
      <x:c r="H228" s="25"/>
      <x:c r="I228" s="25"/>
      <x:c r="J228" s="25"/>
      <x:c r="K228" s="25"/>
      <x:c r="L228" s="25"/>
      <x:c r="M228" s="25"/>
      <x:c r="N228" s="25"/>
      <x:c r="O228" s="25"/>
      <x:c r="P228" s="25"/>
      <x:c r="Q228" s="25"/>
      <x:c r="R228" s="25"/>
      <x:c r="S228" s="25"/>
      <x:c r="T228" s="25"/>
      <x:c r="U228" s="25"/>
      <x:c r="V228" s="25"/>
      <x:c r="W228" s="25"/>
      <x:c r="X228" s="25"/>
      <x:c r="Y228" s="25"/>
      <x:c r="Z228" s="25"/>
    </x:row>
    <x:row r="229">
      <x:c r="A229" s="25"/>
      <x:c r="B229" s="25"/>
      <x:c r="C229" s="25"/>
      <x:c r="D229" s="25"/>
      <x:c r="E229" s="25"/>
      <x:c r="F229" s="25"/>
      <x:c r="G229" s="25"/>
      <x:c r="H229" s="25"/>
      <x:c r="I229" s="25"/>
      <x:c r="J229" s="25"/>
      <x:c r="K229" s="25"/>
      <x:c r="L229" s="25"/>
      <x:c r="M229" s="25"/>
      <x:c r="N229" s="25"/>
      <x:c r="O229" s="25"/>
      <x:c r="P229" s="25"/>
      <x:c r="Q229" s="25"/>
      <x:c r="R229" s="25"/>
      <x:c r="S229" s="25"/>
      <x:c r="T229" s="25"/>
      <x:c r="U229" s="25"/>
      <x:c r="V229" s="25"/>
      <x:c r="W229" s="25"/>
      <x:c r="X229" s="25"/>
      <x:c r="Y229" s="25"/>
      <x:c r="Z229" s="25"/>
    </x:row>
    <x:row r="230">
      <x:c r="A230" s="25"/>
      <x:c r="B230" s="25"/>
      <x:c r="C230" s="25"/>
      <x:c r="D230" s="25"/>
      <x:c r="E230" s="25"/>
      <x:c r="F230" s="25"/>
      <x:c r="G230" s="25"/>
      <x:c r="H230" s="25"/>
      <x:c r="I230" s="25"/>
      <x:c r="J230" s="25"/>
      <x:c r="K230" s="25"/>
      <x:c r="L230" s="25"/>
      <x:c r="M230" s="25"/>
      <x:c r="N230" s="25"/>
      <x:c r="O230" s="25"/>
      <x:c r="P230" s="25"/>
      <x:c r="Q230" s="25"/>
      <x:c r="R230" s="25"/>
      <x:c r="S230" s="25"/>
      <x:c r="T230" s="25"/>
      <x:c r="U230" s="25"/>
      <x:c r="V230" s="25"/>
      <x:c r="W230" s="25"/>
      <x:c r="X230" s="25"/>
      <x:c r="Y230" s="25"/>
      <x:c r="Z230" s="25"/>
    </x:row>
    <x:row r="231">
      <x:c r="A231" s="25"/>
      <x:c r="B231" s="25"/>
      <x:c r="C231" s="25"/>
      <x:c r="D231" s="25"/>
      <x:c r="E231" s="25"/>
      <x:c r="F231" s="25"/>
      <x:c r="G231" s="25"/>
      <x:c r="H231" s="25"/>
      <x:c r="I231" s="25"/>
      <x:c r="J231" s="25"/>
      <x:c r="K231" s="25"/>
      <x:c r="L231" s="25"/>
      <x:c r="M231" s="25"/>
      <x:c r="N231" s="25"/>
      <x:c r="O231" s="25"/>
      <x:c r="P231" s="25"/>
      <x:c r="Q231" s="25"/>
      <x:c r="R231" s="25"/>
      <x:c r="S231" s="25"/>
      <x:c r="T231" s="25"/>
      <x:c r="U231" s="25"/>
      <x:c r="V231" s="25"/>
      <x:c r="W231" s="25"/>
      <x:c r="X231" s="25"/>
      <x:c r="Y231" s="25"/>
      <x:c r="Z231" s="25"/>
    </x:row>
    <x:row r="232">
      <x:c r="A232" s="25"/>
      <x:c r="B232" s="25"/>
      <x:c r="C232" s="25"/>
      <x:c r="D232" s="25"/>
      <x:c r="E232" s="25"/>
      <x:c r="F232" s="25"/>
      <x:c r="G232" s="25"/>
      <x:c r="H232" s="25"/>
      <x:c r="I232" s="25"/>
      <x:c r="J232" s="25"/>
      <x:c r="K232" s="25"/>
      <x:c r="L232" s="25"/>
      <x:c r="M232" s="25"/>
      <x:c r="N232" s="25"/>
      <x:c r="O232" s="25"/>
      <x:c r="P232" s="25"/>
      <x:c r="Q232" s="25"/>
      <x:c r="R232" s="25"/>
      <x:c r="S232" s="25"/>
      <x:c r="T232" s="25"/>
      <x:c r="U232" s="25"/>
      <x:c r="V232" s="25"/>
      <x:c r="W232" s="25"/>
      <x:c r="X232" s="25"/>
      <x:c r="Y232" s="25"/>
      <x:c r="Z232" s="25"/>
    </x:row>
    <x:row r="233">
      <x:c r="A233" s="25"/>
      <x:c r="B233" s="25"/>
      <x:c r="C233" s="25"/>
      <x:c r="D233" s="25"/>
      <x:c r="E233" s="25"/>
      <x:c r="F233" s="25"/>
      <x:c r="G233" s="25"/>
      <x:c r="H233" s="25"/>
      <x:c r="I233" s="25"/>
      <x:c r="J233" s="25"/>
      <x:c r="K233" s="25"/>
      <x:c r="L233" s="25"/>
      <x:c r="M233" s="25"/>
      <x:c r="N233" s="25"/>
      <x:c r="O233" s="25"/>
      <x:c r="P233" s="25"/>
      <x:c r="Q233" s="25"/>
      <x:c r="R233" s="25"/>
      <x:c r="S233" s="25"/>
      <x:c r="T233" s="25"/>
      <x:c r="U233" s="25"/>
      <x:c r="V233" s="25"/>
      <x:c r="W233" s="25"/>
      <x:c r="X233" s="25"/>
      <x:c r="Y233" s="25"/>
      <x:c r="Z233" s="25"/>
    </x:row>
    <x:row r="234">
      <x:c r="A234" s="25"/>
      <x:c r="B234" s="25"/>
      <x:c r="C234" s="25"/>
      <x:c r="D234" s="25"/>
      <x:c r="E234" s="25"/>
      <x:c r="F234" s="25"/>
      <x:c r="G234" s="25"/>
      <x:c r="H234" s="25"/>
      <x:c r="I234" s="25"/>
      <x:c r="J234" s="25"/>
      <x:c r="K234" s="25"/>
      <x:c r="L234" s="25"/>
      <x:c r="M234" s="25"/>
      <x:c r="N234" s="25"/>
      <x:c r="O234" s="25"/>
      <x:c r="P234" s="25"/>
      <x:c r="Q234" s="25"/>
      <x:c r="R234" s="25"/>
      <x:c r="S234" s="25"/>
      <x:c r="T234" s="25"/>
      <x:c r="U234" s="25"/>
      <x:c r="V234" s="25"/>
      <x:c r="W234" s="25"/>
      <x:c r="X234" s="25"/>
      <x:c r="Y234" s="25"/>
      <x:c r="Z234" s="25"/>
    </x:row>
    <x:row r="235">
      <x:c r="A235" s="25"/>
      <x:c r="B235" s="25"/>
      <x:c r="C235" s="25"/>
      <x:c r="D235" s="25"/>
      <x:c r="E235" s="25"/>
      <x:c r="F235" s="25"/>
      <x:c r="G235" s="25"/>
      <x:c r="H235" s="25"/>
      <x:c r="I235" s="25"/>
      <x:c r="J235" s="25"/>
      <x:c r="K235" s="25"/>
      <x:c r="L235" s="25"/>
      <x:c r="M235" s="25"/>
      <x:c r="N235" s="25"/>
      <x:c r="O235" s="25"/>
      <x:c r="P235" s="25"/>
      <x:c r="Q235" s="25"/>
      <x:c r="R235" s="25"/>
      <x:c r="S235" s="25"/>
      <x:c r="T235" s="25"/>
      <x:c r="U235" s="25"/>
      <x:c r="V235" s="25"/>
      <x:c r="W235" s="25"/>
      <x:c r="X235" s="25"/>
      <x:c r="Y235" s="25"/>
      <x:c r="Z235" s="25"/>
    </x:row>
    <x:row r="236">
      <x:c r="A236" s="25"/>
      <x:c r="B236" s="25"/>
      <x:c r="C236" s="25"/>
      <x:c r="D236" s="25"/>
      <x:c r="E236" s="25"/>
      <x:c r="F236" s="25"/>
      <x:c r="G236" s="25"/>
      <x:c r="H236" s="25"/>
      <x:c r="I236" s="25"/>
      <x:c r="J236" s="25"/>
      <x:c r="K236" s="25"/>
      <x:c r="L236" s="25"/>
      <x:c r="M236" s="25"/>
      <x:c r="N236" s="25"/>
      <x:c r="O236" s="25"/>
      <x:c r="P236" s="25"/>
      <x:c r="Q236" s="25"/>
      <x:c r="R236" s="25"/>
      <x:c r="S236" s="25"/>
      <x:c r="T236" s="25"/>
      <x:c r="U236" s="25"/>
      <x:c r="V236" s="25"/>
      <x:c r="W236" s="25"/>
      <x:c r="X236" s="25"/>
      <x:c r="Y236" s="25"/>
      <x:c r="Z236" s="25"/>
    </x:row>
    <x:row r="237">
      <x:c r="A237" s="25"/>
      <x:c r="B237" s="25"/>
      <x:c r="C237" s="25"/>
      <x:c r="D237" s="25"/>
      <x:c r="E237" s="25"/>
      <x:c r="F237" s="25"/>
      <x:c r="G237" s="25"/>
      <x:c r="H237" s="25"/>
      <x:c r="I237" s="25"/>
      <x:c r="J237" s="25"/>
      <x:c r="K237" s="25"/>
      <x:c r="L237" s="25"/>
      <x:c r="M237" s="25"/>
      <x:c r="N237" s="25"/>
      <x:c r="O237" s="25"/>
      <x:c r="P237" s="25"/>
      <x:c r="Q237" s="25"/>
      <x:c r="R237" s="25"/>
      <x:c r="S237" s="25"/>
      <x:c r="T237" s="25"/>
      <x:c r="U237" s="25"/>
      <x:c r="V237" s="25"/>
      <x:c r="W237" s="25"/>
      <x:c r="X237" s="25"/>
      <x:c r="Y237" s="25"/>
      <x:c r="Z237" s="25"/>
    </x:row>
    <x:row r="238">
      <x:c r="A238" s="25"/>
      <x:c r="B238" s="25"/>
      <x:c r="C238" s="25"/>
      <x:c r="D238" s="25"/>
      <x:c r="E238" s="25"/>
      <x:c r="F238" s="25"/>
      <x:c r="G238" s="25"/>
      <x:c r="H238" s="25"/>
      <x:c r="I238" s="25"/>
      <x:c r="J238" s="25"/>
      <x:c r="K238" s="25"/>
      <x:c r="L238" s="25"/>
      <x:c r="M238" s="25"/>
      <x:c r="N238" s="25"/>
      <x:c r="O238" s="25"/>
      <x:c r="P238" s="25"/>
      <x:c r="Q238" s="25"/>
      <x:c r="R238" s="25"/>
      <x:c r="S238" s="25"/>
      <x:c r="T238" s="25"/>
      <x:c r="U238" s="25"/>
      <x:c r="V238" s="25"/>
      <x:c r="W238" s="25"/>
      <x:c r="X238" s="25"/>
      <x:c r="Y238" s="25"/>
      <x:c r="Z238" s="25"/>
    </x:row>
    <x:row r="239">
      <x:c r="A239" s="25"/>
      <x:c r="B239" s="25"/>
      <x:c r="C239" s="25"/>
      <x:c r="D239" s="25"/>
      <x:c r="E239" s="25"/>
      <x:c r="F239" s="25"/>
      <x:c r="G239" s="25"/>
      <x:c r="H239" s="25"/>
      <x:c r="I239" s="25"/>
      <x:c r="J239" s="25"/>
      <x:c r="K239" s="25"/>
      <x:c r="L239" s="25"/>
      <x:c r="M239" s="25"/>
      <x:c r="N239" s="25"/>
      <x:c r="O239" s="25"/>
      <x:c r="P239" s="25"/>
      <x:c r="Q239" s="25"/>
      <x:c r="R239" s="25"/>
      <x:c r="S239" s="25"/>
      <x:c r="T239" s="25"/>
      <x:c r="U239" s="25"/>
      <x:c r="V239" s="25"/>
      <x:c r="W239" s="25"/>
      <x:c r="X239" s="25"/>
      <x:c r="Y239" s="25"/>
      <x:c r="Z239" s="25"/>
    </x:row>
    <x:row r="240">
      <x:c r="A240" s="25"/>
      <x:c r="B240" s="25"/>
      <x:c r="C240" s="25"/>
      <x:c r="D240" s="25"/>
      <x:c r="E240" s="25"/>
      <x:c r="F240" s="25"/>
      <x:c r="G240" s="25"/>
      <x:c r="H240" s="25"/>
      <x:c r="I240" s="25"/>
      <x:c r="J240" s="25"/>
      <x:c r="K240" s="25"/>
      <x:c r="L240" s="25"/>
      <x:c r="M240" s="25"/>
      <x:c r="N240" s="25"/>
      <x:c r="O240" s="25"/>
      <x:c r="P240" s="25"/>
      <x:c r="Q240" s="25"/>
      <x:c r="R240" s="25"/>
      <x:c r="S240" s="25"/>
      <x:c r="T240" s="25"/>
      <x:c r="U240" s="25"/>
      <x:c r="V240" s="25"/>
      <x:c r="W240" s="25"/>
      <x:c r="X240" s="25"/>
      <x:c r="Y240" s="25"/>
      <x:c r="Z240" s="25"/>
    </x:row>
    <x:row r="241">
      <x:c r="A241" s="25"/>
      <x:c r="B241" s="25"/>
      <x:c r="C241" s="25"/>
      <x:c r="D241" s="25"/>
      <x:c r="E241" s="25"/>
      <x:c r="F241" s="25"/>
      <x:c r="G241" s="25"/>
      <x:c r="H241" s="25"/>
      <x:c r="I241" s="25"/>
      <x:c r="J241" s="25"/>
      <x:c r="K241" s="25"/>
      <x:c r="L241" s="25"/>
      <x:c r="M241" s="25"/>
      <x:c r="N241" s="25"/>
      <x:c r="O241" s="25"/>
      <x:c r="P241" s="25"/>
      <x:c r="Q241" s="25"/>
      <x:c r="R241" s="25"/>
      <x:c r="S241" s="25"/>
      <x:c r="T241" s="25"/>
      <x:c r="U241" s="25"/>
      <x:c r="V241" s="25"/>
      <x:c r="W241" s="25"/>
      <x:c r="X241" s="25"/>
      <x:c r="Y241" s="25"/>
      <x:c r="Z241" s="25"/>
    </x:row>
    <x:row r="242">
      <x:c r="A242" s="25"/>
      <x:c r="B242" s="25"/>
      <x:c r="C242" s="25"/>
      <x:c r="D242" s="25"/>
      <x:c r="E242" s="25"/>
      <x:c r="F242" s="25"/>
      <x:c r="G242" s="25"/>
      <x:c r="H242" s="25"/>
      <x:c r="I242" s="25"/>
      <x:c r="J242" s="25"/>
      <x:c r="K242" s="25"/>
      <x:c r="L242" s="25"/>
      <x:c r="M242" s="25"/>
      <x:c r="N242" s="25"/>
      <x:c r="O242" s="25"/>
      <x:c r="P242" s="25"/>
      <x:c r="Q242" s="25"/>
      <x:c r="R242" s="25"/>
      <x:c r="S242" s="25"/>
      <x:c r="T242" s="25"/>
      <x:c r="U242" s="25"/>
      <x:c r="V242" s="25"/>
      <x:c r="W242" s="25"/>
      <x:c r="X242" s="25"/>
      <x:c r="Y242" s="25"/>
      <x:c r="Z242" s="25"/>
    </x:row>
    <x:row r="243">
      <x:c r="A243" s="25"/>
      <x:c r="B243" s="25"/>
      <x:c r="C243" s="25"/>
      <x:c r="D243" s="25"/>
      <x:c r="E243" s="25"/>
      <x:c r="F243" s="25"/>
      <x:c r="G243" s="25"/>
      <x:c r="H243" s="25"/>
      <x:c r="I243" s="25"/>
      <x:c r="J243" s="25"/>
      <x:c r="K243" s="25"/>
      <x:c r="L243" s="25"/>
      <x:c r="M243" s="25"/>
      <x:c r="N243" s="25"/>
      <x:c r="O243" s="25"/>
      <x:c r="P243" s="25"/>
      <x:c r="Q243" s="25"/>
      <x:c r="R243" s="25"/>
      <x:c r="S243" s="25"/>
      <x:c r="T243" s="25"/>
      <x:c r="U243" s="25"/>
      <x:c r="V243" s="25"/>
      <x:c r="W243" s="25"/>
      <x:c r="X243" s="25"/>
      <x:c r="Y243" s="25"/>
      <x:c r="Z243" s="25"/>
    </x:row>
    <x:row r="244">
      <x:c r="A244" s="25"/>
      <x:c r="B244" s="25"/>
      <x:c r="C244" s="25"/>
      <x:c r="D244" s="25"/>
      <x:c r="E244" s="25"/>
      <x:c r="F244" s="25"/>
      <x:c r="G244" s="25"/>
      <x:c r="H244" s="25"/>
      <x:c r="I244" s="25"/>
      <x:c r="J244" s="25"/>
      <x:c r="K244" s="25"/>
      <x:c r="L244" s="25"/>
      <x:c r="M244" s="25"/>
      <x:c r="N244" s="25"/>
      <x:c r="O244" s="25"/>
      <x:c r="P244" s="25"/>
      <x:c r="Q244" s="25"/>
      <x:c r="R244" s="25"/>
      <x:c r="S244" s="25"/>
      <x:c r="T244" s="25"/>
      <x:c r="U244" s="25"/>
      <x:c r="V244" s="25"/>
      <x:c r="W244" s="25"/>
      <x:c r="X244" s="25"/>
      <x:c r="Y244" s="25"/>
      <x:c r="Z244" s="25"/>
    </x:row>
    <x:row r="245">
      <x:c r="A245" s="25"/>
      <x:c r="B245" s="25"/>
      <x:c r="C245" s="25"/>
      <x:c r="D245" s="25"/>
      <x:c r="E245" s="25"/>
      <x:c r="F245" s="25"/>
      <x:c r="G245" s="25"/>
      <x:c r="H245" s="25"/>
      <x:c r="I245" s="25"/>
      <x:c r="J245" s="25"/>
      <x:c r="K245" s="25"/>
      <x:c r="L245" s="25"/>
      <x:c r="M245" s="25"/>
      <x:c r="N245" s="25"/>
      <x:c r="O245" s="25"/>
      <x:c r="P245" s="25"/>
      <x:c r="Q245" s="25"/>
      <x:c r="R245" s="25"/>
      <x:c r="S245" s="25"/>
      <x:c r="T245" s="25"/>
      <x:c r="U245" s="25"/>
      <x:c r="V245" s="25"/>
      <x:c r="W245" s="25"/>
      <x:c r="X245" s="25"/>
      <x:c r="Y245" s="25"/>
      <x:c r="Z245" s="25"/>
    </x:row>
    <x:row r="246">
      <x:c r="A246" s="25"/>
      <x:c r="B246" s="25"/>
      <x:c r="C246" s="25"/>
      <x:c r="D246" s="25"/>
      <x:c r="E246" s="25"/>
      <x:c r="F246" s="25"/>
      <x:c r="G246" s="25"/>
      <x:c r="H246" s="25"/>
      <x:c r="I246" s="25"/>
      <x:c r="J246" s="25"/>
      <x:c r="K246" s="25"/>
      <x:c r="L246" s="25"/>
      <x:c r="M246" s="25"/>
      <x:c r="N246" s="25"/>
      <x:c r="O246" s="25"/>
      <x:c r="P246" s="25"/>
      <x:c r="Q246" s="25"/>
      <x:c r="R246" s="25"/>
      <x:c r="S246" s="25"/>
      <x:c r="T246" s="25"/>
      <x:c r="U246" s="25"/>
      <x:c r="V246" s="25"/>
      <x:c r="W246" s="25"/>
      <x:c r="X246" s="25"/>
      <x:c r="Y246" s="25"/>
      <x:c r="Z246" s="25"/>
    </x:row>
    <x:row r="247">
      <x:c r="A247" s="25"/>
      <x:c r="B247" s="25"/>
      <x:c r="C247" s="25"/>
      <x:c r="D247" s="25"/>
      <x:c r="E247" s="25"/>
      <x:c r="F247" s="25"/>
      <x:c r="G247" s="25"/>
      <x:c r="H247" s="25"/>
      <x:c r="I247" s="25"/>
      <x:c r="J247" s="25"/>
      <x:c r="K247" s="25"/>
      <x:c r="L247" s="25"/>
      <x:c r="M247" s="25"/>
      <x:c r="N247" s="25"/>
      <x:c r="O247" s="25"/>
      <x:c r="P247" s="25"/>
      <x:c r="Q247" s="25"/>
      <x:c r="R247" s="25"/>
      <x:c r="S247" s="25"/>
      <x:c r="T247" s="25"/>
      <x:c r="U247" s="25"/>
      <x:c r="V247" s="25"/>
      <x:c r="W247" s="25"/>
      <x:c r="X247" s="25"/>
      <x:c r="Y247" s="25"/>
      <x:c r="Z247" s="25"/>
    </x:row>
    <x:row r="248">
      <x:c r="A248" s="25"/>
      <x:c r="B248" s="25"/>
      <x:c r="C248" s="25"/>
      <x:c r="D248" s="25"/>
      <x:c r="E248" s="25"/>
      <x:c r="F248" s="25"/>
      <x:c r="G248" s="25"/>
      <x:c r="H248" s="25"/>
      <x:c r="I248" s="25"/>
      <x:c r="J248" s="25"/>
      <x:c r="K248" s="25"/>
      <x:c r="L248" s="25"/>
      <x:c r="M248" s="25"/>
      <x:c r="N248" s="25"/>
      <x:c r="O248" s="25"/>
      <x:c r="P248" s="25"/>
      <x:c r="Q248" s="25"/>
      <x:c r="R248" s="25"/>
      <x:c r="S248" s="25"/>
      <x:c r="T248" s="25"/>
      <x:c r="U248" s="25"/>
      <x:c r="V248" s="25"/>
      <x:c r="W248" s="25"/>
      <x:c r="X248" s="25"/>
      <x:c r="Y248" s="25"/>
      <x:c r="Z248" s="25"/>
    </x:row>
    <x:row r="249">
      <x:c r="A249" s="25"/>
      <x:c r="B249" s="25"/>
      <x:c r="C249" s="25"/>
      <x:c r="D249" s="25"/>
      <x:c r="E249" s="25"/>
      <x:c r="F249" s="25"/>
      <x:c r="G249" s="25"/>
      <x:c r="H249" s="25"/>
      <x:c r="I249" s="25"/>
      <x:c r="J249" s="25"/>
      <x:c r="K249" s="25"/>
      <x:c r="L249" s="25"/>
      <x:c r="M249" s="25"/>
      <x:c r="N249" s="25"/>
      <x:c r="O249" s="25"/>
      <x:c r="P249" s="25"/>
      <x:c r="Q249" s="25"/>
      <x:c r="R249" s="25"/>
      <x:c r="S249" s="25"/>
      <x:c r="T249" s="25"/>
      <x:c r="U249" s="25"/>
      <x:c r="V249" s="25"/>
      <x:c r="W249" s="25"/>
      <x:c r="X249" s="25"/>
      <x:c r="Y249" s="25"/>
      <x:c r="Z249" s="25"/>
    </x:row>
    <x:row r="250">
      <x:c r="A250" s="25"/>
      <x:c r="B250" s="25"/>
      <x:c r="C250" s="25"/>
      <x:c r="D250" s="25"/>
      <x:c r="E250" s="25"/>
      <x:c r="F250" s="25"/>
      <x:c r="G250" s="25"/>
      <x:c r="H250" s="25"/>
      <x:c r="I250" s="25"/>
      <x:c r="J250" s="25"/>
      <x:c r="K250" s="25"/>
      <x:c r="L250" s="25"/>
      <x:c r="M250" s="25"/>
      <x:c r="N250" s="25"/>
      <x:c r="O250" s="25"/>
      <x:c r="P250" s="25"/>
      <x:c r="Q250" s="25"/>
      <x:c r="R250" s="25"/>
      <x:c r="S250" s="25"/>
      <x:c r="T250" s="25"/>
      <x:c r="U250" s="25"/>
      <x:c r="V250" s="25"/>
      <x:c r="W250" s="25"/>
      <x:c r="X250" s="25"/>
      <x:c r="Y250" s="25"/>
      <x:c r="Z250" s="25"/>
    </x:row>
    <x:row r="251">
      <x:c r="A251" s="25"/>
      <x:c r="B251" s="25"/>
      <x:c r="C251" s="25"/>
      <x:c r="D251" s="25"/>
      <x:c r="E251" s="25"/>
      <x:c r="F251" s="25"/>
      <x:c r="G251" s="25"/>
      <x:c r="H251" s="25"/>
      <x:c r="I251" s="25"/>
      <x:c r="J251" s="25"/>
      <x:c r="K251" s="25"/>
      <x:c r="L251" s="25"/>
      <x:c r="M251" s="25"/>
      <x:c r="N251" s="25"/>
      <x:c r="O251" s="25"/>
      <x:c r="P251" s="25"/>
      <x:c r="Q251" s="25"/>
      <x:c r="R251" s="25"/>
      <x:c r="S251" s="25"/>
      <x:c r="T251" s="25"/>
      <x:c r="U251" s="25"/>
      <x:c r="V251" s="25"/>
      <x:c r="W251" s="25"/>
      <x:c r="X251" s="25"/>
      <x:c r="Y251" s="25"/>
      <x:c r="Z251" s="25"/>
    </x:row>
    <x:row r="252">
      <x:c r="A252" s="25"/>
      <x:c r="B252" s="25"/>
      <x:c r="C252" s="25"/>
      <x:c r="D252" s="25"/>
      <x:c r="E252" s="25"/>
      <x:c r="F252" s="25"/>
      <x:c r="G252" s="25"/>
      <x:c r="H252" s="25"/>
      <x:c r="I252" s="25"/>
      <x:c r="J252" s="25"/>
      <x:c r="K252" s="25"/>
      <x:c r="L252" s="25"/>
      <x:c r="M252" s="25"/>
      <x:c r="N252" s="25"/>
      <x:c r="O252" s="25"/>
      <x:c r="P252" s="25"/>
      <x:c r="Q252" s="25"/>
      <x:c r="R252" s="25"/>
      <x:c r="S252" s="25"/>
      <x:c r="T252" s="25"/>
      <x:c r="U252" s="25"/>
      <x:c r="V252" s="25"/>
      <x:c r="W252" s="25"/>
      <x:c r="X252" s="25"/>
      <x:c r="Y252" s="25"/>
      <x:c r="Z252" s="25"/>
    </x:row>
    <x:row r="253">
      <x:c r="A253" s="25"/>
      <x:c r="B253" s="25"/>
      <x:c r="C253" s="25"/>
      <x:c r="D253" s="25"/>
      <x:c r="E253" s="25"/>
      <x:c r="F253" s="25"/>
      <x:c r="G253" s="25"/>
      <x:c r="H253" s="25"/>
      <x:c r="I253" s="25"/>
      <x:c r="J253" s="25"/>
      <x:c r="K253" s="25"/>
      <x:c r="L253" s="25"/>
      <x:c r="M253" s="25"/>
      <x:c r="N253" s="25"/>
      <x:c r="O253" s="25"/>
      <x:c r="P253" s="25"/>
      <x:c r="Q253" s="25"/>
      <x:c r="R253" s="25"/>
      <x:c r="S253" s="25"/>
      <x:c r="T253" s="25"/>
      <x:c r="U253" s="25"/>
      <x:c r="V253" s="25"/>
      <x:c r="W253" s="25"/>
      <x:c r="X253" s="25"/>
      <x:c r="Y253" s="25"/>
      <x:c r="Z253" s="25"/>
    </x:row>
    <x:row r="254">
      <x:c r="A254" s="25"/>
      <x:c r="B254" s="25"/>
      <x:c r="C254" s="25"/>
      <x:c r="D254" s="25"/>
      <x:c r="E254" s="25"/>
      <x:c r="F254" s="25"/>
      <x:c r="G254" s="25"/>
      <x:c r="H254" s="25"/>
      <x:c r="I254" s="25"/>
      <x:c r="J254" s="25"/>
      <x:c r="K254" s="25"/>
      <x:c r="L254" s="25"/>
      <x:c r="M254" s="25"/>
      <x:c r="N254" s="25"/>
      <x:c r="O254" s="25"/>
      <x:c r="P254" s="25"/>
      <x:c r="Q254" s="25"/>
      <x:c r="R254" s="25"/>
      <x:c r="S254" s="25"/>
      <x:c r="T254" s="25"/>
      <x:c r="U254" s="25"/>
      <x:c r="V254" s="25"/>
      <x:c r="W254" s="25"/>
      <x:c r="X254" s="25"/>
      <x:c r="Y254" s="25"/>
      <x:c r="Z254" s="25"/>
    </x:row>
    <x:row r="255">
      <x:c r="A255" s="25"/>
      <x:c r="B255" s="25"/>
      <x:c r="C255" s="25"/>
      <x:c r="D255" s="25"/>
      <x:c r="E255" s="25"/>
      <x:c r="F255" s="25"/>
      <x:c r="G255" s="25"/>
      <x:c r="H255" s="25"/>
      <x:c r="I255" s="25"/>
      <x:c r="J255" s="25"/>
      <x:c r="K255" s="25"/>
      <x:c r="L255" s="25"/>
      <x:c r="M255" s="25"/>
      <x:c r="N255" s="25"/>
      <x:c r="O255" s="25"/>
      <x:c r="P255" s="25"/>
      <x:c r="Q255" s="25"/>
      <x:c r="R255" s="25"/>
      <x:c r="S255" s="25"/>
      <x:c r="T255" s="25"/>
      <x:c r="U255" s="25"/>
      <x:c r="V255" s="25"/>
      <x:c r="W255" s="25"/>
      <x:c r="X255" s="25"/>
      <x:c r="Y255" s="25"/>
      <x:c r="Z255" s="25"/>
    </x:row>
    <x:row r="256">
      <x:c r="A256" s="25"/>
      <x:c r="B256" s="25"/>
      <x:c r="C256" s="25"/>
      <x:c r="D256" s="25"/>
      <x:c r="E256" s="25"/>
      <x:c r="F256" s="25"/>
      <x:c r="G256" s="25"/>
      <x:c r="H256" s="25"/>
      <x:c r="I256" s="25"/>
      <x:c r="J256" s="25"/>
      <x:c r="K256" s="25"/>
      <x:c r="L256" s="25"/>
      <x:c r="M256" s="25"/>
      <x:c r="N256" s="25"/>
      <x:c r="O256" s="25"/>
      <x:c r="P256" s="25"/>
      <x:c r="Q256" s="25"/>
      <x:c r="R256" s="25"/>
      <x:c r="S256" s="25"/>
      <x:c r="T256" s="25"/>
      <x:c r="U256" s="25"/>
      <x:c r="V256" s="25"/>
      <x:c r="W256" s="25"/>
      <x:c r="X256" s="25"/>
      <x:c r="Y256" s="25"/>
      <x:c r="Z256" s="25"/>
    </x:row>
    <x:row r="257">
      <x:c r="A257" s="25"/>
      <x:c r="B257" s="25"/>
      <x:c r="C257" s="25"/>
      <x:c r="D257" s="25"/>
      <x:c r="E257" s="25"/>
      <x:c r="F257" s="25"/>
      <x:c r="G257" s="25"/>
      <x:c r="H257" s="25"/>
      <x:c r="I257" s="25"/>
      <x:c r="J257" s="25"/>
      <x:c r="K257" s="25"/>
      <x:c r="L257" s="25"/>
      <x:c r="M257" s="25"/>
      <x:c r="N257" s="25"/>
      <x:c r="O257" s="25"/>
      <x:c r="P257" s="25"/>
      <x:c r="Q257" s="25"/>
      <x:c r="R257" s="25"/>
      <x:c r="S257" s="25"/>
      <x:c r="T257" s="25"/>
      <x:c r="U257" s="25"/>
      <x:c r="V257" s="25"/>
      <x:c r="W257" s="25"/>
      <x:c r="X257" s="25"/>
      <x:c r="Y257" s="25"/>
      <x:c r="Z257" s="25"/>
    </x:row>
    <x:row r="258">
      <x:c r="A258" s="25"/>
      <x:c r="B258" s="25"/>
      <x:c r="C258" s="25"/>
      <x:c r="D258" s="25"/>
      <x:c r="E258" s="25"/>
      <x:c r="F258" s="25"/>
      <x:c r="G258" s="25"/>
      <x:c r="H258" s="25"/>
      <x:c r="I258" s="25"/>
      <x:c r="J258" s="25"/>
      <x:c r="K258" s="25"/>
      <x:c r="L258" s="25"/>
      <x:c r="M258" s="25"/>
      <x:c r="N258" s="25"/>
      <x:c r="O258" s="25"/>
      <x:c r="P258" s="25"/>
      <x:c r="Q258" s="25"/>
      <x:c r="R258" s="25"/>
      <x:c r="S258" s="25"/>
      <x:c r="T258" s="25"/>
      <x:c r="U258" s="25"/>
      <x:c r="V258" s="25"/>
      <x:c r="W258" s="25"/>
      <x:c r="X258" s="25"/>
      <x:c r="Y258" s="25"/>
      <x:c r="Z258" s="25"/>
    </x:row>
    <x:row r="259">
      <x:c r="A259" s="25"/>
      <x:c r="B259" s="25"/>
      <x:c r="C259" s="25"/>
      <x:c r="D259" s="25"/>
      <x:c r="E259" s="25"/>
      <x:c r="F259" s="25"/>
      <x:c r="G259" s="25"/>
      <x:c r="H259" s="25"/>
      <x:c r="I259" s="25"/>
      <x:c r="J259" s="25"/>
      <x:c r="K259" s="25"/>
      <x:c r="L259" s="25"/>
      <x:c r="M259" s="25"/>
      <x:c r="N259" s="25"/>
      <x:c r="O259" s="25"/>
      <x:c r="P259" s="25"/>
      <x:c r="Q259" s="25"/>
      <x:c r="R259" s="25"/>
      <x:c r="S259" s="25"/>
      <x:c r="T259" s="25"/>
      <x:c r="U259" s="25"/>
      <x:c r="V259" s="25"/>
      <x:c r="W259" s="25"/>
      <x:c r="X259" s="25"/>
      <x:c r="Y259" s="25"/>
      <x:c r="Z259" s="25"/>
    </x:row>
    <x:row r="260">
      <x:c r="A260" s="25"/>
      <x:c r="B260" s="25"/>
      <x:c r="C260" s="25"/>
      <x:c r="D260" s="25"/>
      <x:c r="E260" s="25"/>
      <x:c r="F260" s="25"/>
      <x:c r="G260" s="25"/>
      <x:c r="H260" s="25"/>
      <x:c r="I260" s="25"/>
      <x:c r="J260" s="25"/>
      <x:c r="K260" s="25"/>
      <x:c r="L260" s="25"/>
      <x:c r="M260" s="25"/>
      <x:c r="N260" s="25"/>
      <x:c r="O260" s="25"/>
      <x:c r="P260" s="25"/>
      <x:c r="Q260" s="25"/>
      <x:c r="R260" s="25"/>
      <x:c r="S260" s="25"/>
      <x:c r="T260" s="25"/>
      <x:c r="U260" s="25"/>
      <x:c r="V260" s="25"/>
      <x:c r="W260" s="25"/>
      <x:c r="X260" s="25"/>
      <x:c r="Y260" s="25"/>
      <x:c r="Z260" s="25"/>
    </x:row>
    <x:row r="261">
      <x:c r="A261" s="25"/>
      <x:c r="B261" s="25"/>
      <x:c r="C261" s="25"/>
      <x:c r="D261" s="25"/>
      <x:c r="E261" s="25"/>
      <x:c r="F261" s="25"/>
      <x:c r="G261" s="25"/>
      <x:c r="H261" s="25"/>
      <x:c r="I261" s="25"/>
      <x:c r="J261" s="25"/>
      <x:c r="K261" s="25"/>
      <x:c r="L261" s="25"/>
      <x:c r="M261" s="25"/>
      <x:c r="N261" s="25"/>
      <x:c r="O261" s="25"/>
      <x:c r="P261" s="25"/>
      <x:c r="Q261" s="25"/>
      <x:c r="R261" s="25"/>
      <x:c r="S261" s="25"/>
      <x:c r="T261" s="25"/>
      <x:c r="U261" s="25"/>
      <x:c r="V261" s="25"/>
      <x:c r="W261" s="25"/>
      <x:c r="X261" s="25"/>
      <x:c r="Y261" s="25"/>
      <x:c r="Z261" s="25"/>
    </x:row>
    <x:row r="262">
      <x:c r="A262" s="25"/>
      <x:c r="B262" s="25"/>
      <x:c r="C262" s="25"/>
      <x:c r="D262" s="25"/>
      <x:c r="E262" s="25"/>
      <x:c r="F262" s="25"/>
      <x:c r="G262" s="25"/>
      <x:c r="H262" s="25"/>
      <x:c r="I262" s="25"/>
      <x:c r="J262" s="25"/>
      <x:c r="K262" s="25"/>
      <x:c r="L262" s="25"/>
      <x:c r="M262" s="25"/>
      <x:c r="N262" s="25"/>
      <x:c r="O262" s="25"/>
      <x:c r="P262" s="25"/>
      <x:c r="Q262" s="25"/>
      <x:c r="R262" s="25"/>
      <x:c r="S262" s="25"/>
      <x:c r="T262" s="25"/>
      <x:c r="U262" s="25"/>
      <x:c r="V262" s="25"/>
      <x:c r="W262" s="25"/>
      <x:c r="X262" s="25"/>
      <x:c r="Y262" s="25"/>
      <x:c r="Z262" s="25"/>
    </x:row>
    <x:row r="263">
      <x:c r="A263" s="25"/>
      <x:c r="B263" s="25"/>
      <x:c r="C263" s="25"/>
      <x:c r="D263" s="25"/>
      <x:c r="E263" s="25"/>
      <x:c r="F263" s="25"/>
      <x:c r="G263" s="25"/>
      <x:c r="H263" s="25"/>
      <x:c r="I263" s="25"/>
      <x:c r="J263" s="25"/>
      <x:c r="K263" s="25"/>
      <x:c r="L263" s="25"/>
      <x:c r="M263" s="25"/>
      <x:c r="N263" s="25"/>
      <x:c r="O263" s="25"/>
      <x:c r="P263" s="25"/>
      <x:c r="Q263" s="25"/>
      <x:c r="R263" s="25"/>
      <x:c r="S263" s="25"/>
      <x:c r="T263" s="25"/>
      <x:c r="U263" s="25"/>
      <x:c r="V263" s="25"/>
      <x:c r="W263" s="25"/>
      <x:c r="X263" s="25"/>
      <x:c r="Y263" s="25"/>
      <x:c r="Z263" s="25"/>
    </x:row>
    <x:row r="264">
      <x:c r="A264" s="25"/>
      <x:c r="B264" s="25"/>
      <x:c r="C264" s="25"/>
      <x:c r="D264" s="25"/>
      <x:c r="E264" s="25"/>
      <x:c r="F264" s="25"/>
      <x:c r="G264" s="25"/>
      <x:c r="H264" s="25"/>
      <x:c r="I264" s="25"/>
      <x:c r="J264" s="25"/>
      <x:c r="K264" s="25"/>
      <x:c r="L264" s="25"/>
      <x:c r="M264" s="25"/>
      <x:c r="N264" s="25"/>
      <x:c r="O264" s="25"/>
      <x:c r="P264" s="25"/>
      <x:c r="Q264" s="25"/>
      <x:c r="R264" s="25"/>
      <x:c r="S264" s="25"/>
      <x:c r="T264" s="25"/>
      <x:c r="U264" s="25"/>
      <x:c r="V264" s="25"/>
      <x:c r="W264" s="25"/>
      <x:c r="X264" s="25"/>
      <x:c r="Y264" s="25"/>
      <x:c r="Z264" s="25"/>
    </x:row>
    <x:row r="265">
      <x:c r="A265" s="25"/>
      <x:c r="B265" s="25"/>
      <x:c r="C265" s="25"/>
      <x:c r="D265" s="25"/>
      <x:c r="E265" s="25"/>
      <x:c r="F265" s="25"/>
      <x:c r="G265" s="25"/>
      <x:c r="H265" s="25"/>
      <x:c r="I265" s="25"/>
      <x:c r="J265" s="25"/>
      <x:c r="K265" s="25"/>
      <x:c r="L265" s="25"/>
      <x:c r="M265" s="25"/>
      <x:c r="N265" s="25"/>
      <x:c r="O265" s="25"/>
      <x:c r="P265" s="25"/>
      <x:c r="Q265" s="25"/>
      <x:c r="R265" s="25"/>
      <x:c r="S265" s="25"/>
      <x:c r="T265" s="25"/>
      <x:c r="U265" s="25"/>
      <x:c r="V265" s="25"/>
      <x:c r="W265" s="25"/>
      <x:c r="X265" s="25"/>
      <x:c r="Y265" s="25"/>
      <x:c r="Z265" s="25"/>
    </x:row>
    <x:row r="266">
      <x:c r="A266" s="25"/>
      <x:c r="B266" s="25"/>
      <x:c r="C266" s="25"/>
      <x:c r="D266" s="25"/>
      <x:c r="E266" s="25"/>
      <x:c r="F266" s="25"/>
      <x:c r="G266" s="25"/>
      <x:c r="H266" s="25"/>
      <x:c r="I266" s="25"/>
      <x:c r="J266" s="25"/>
      <x:c r="K266" s="25"/>
      <x:c r="L266" s="25"/>
      <x:c r="M266" s="25"/>
      <x:c r="N266" s="25"/>
      <x:c r="O266" s="25"/>
      <x:c r="P266" s="25"/>
      <x:c r="Q266" s="25"/>
      <x:c r="R266" s="25"/>
      <x:c r="S266" s="25"/>
      <x:c r="T266" s="25"/>
      <x:c r="U266" s="25"/>
      <x:c r="V266" s="25"/>
      <x:c r="W266" s="25"/>
      <x:c r="X266" s="25"/>
      <x:c r="Y266" s="25"/>
      <x:c r="Z266" s="25"/>
    </x:row>
    <x:row r="267">
      <x:c r="A267" s="25"/>
      <x:c r="B267" s="25"/>
      <x:c r="C267" s="25"/>
      <x:c r="D267" s="25"/>
      <x:c r="E267" s="25"/>
      <x:c r="F267" s="25"/>
      <x:c r="G267" s="25"/>
      <x:c r="H267" s="25"/>
      <x:c r="I267" s="25"/>
      <x:c r="J267" s="25"/>
      <x:c r="K267" s="25"/>
      <x:c r="L267" s="25"/>
      <x:c r="M267" s="25"/>
      <x:c r="N267" s="25"/>
      <x:c r="O267" s="25"/>
      <x:c r="P267" s="25"/>
      <x:c r="Q267" s="25"/>
      <x:c r="R267" s="25"/>
      <x:c r="S267" s="25"/>
      <x:c r="T267" s="25"/>
      <x:c r="U267" s="25"/>
      <x:c r="V267" s="25"/>
      <x:c r="W267" s="25"/>
      <x:c r="X267" s="25"/>
      <x:c r="Y267" s="25"/>
      <x:c r="Z267" s="25"/>
    </x:row>
    <x:row r="268">
      <x:c r="A268" s="25"/>
      <x:c r="B268" s="25"/>
      <x:c r="C268" s="25"/>
      <x:c r="D268" s="25"/>
      <x:c r="E268" s="25"/>
      <x:c r="F268" s="25"/>
      <x:c r="G268" s="25"/>
      <x:c r="H268" s="25"/>
      <x:c r="I268" s="25"/>
      <x:c r="J268" s="25"/>
      <x:c r="K268" s="25"/>
      <x:c r="L268" s="25"/>
      <x:c r="M268" s="25"/>
      <x:c r="N268" s="25"/>
      <x:c r="O268" s="25"/>
      <x:c r="P268" s="25"/>
      <x:c r="Q268" s="25"/>
      <x:c r="R268" s="25"/>
      <x:c r="S268" s="25"/>
      <x:c r="T268" s="25"/>
      <x:c r="U268" s="25"/>
      <x:c r="V268" s="25"/>
      <x:c r="W268" s="25"/>
      <x:c r="X268" s="25"/>
      <x:c r="Y268" s="25"/>
      <x:c r="Z268" s="25"/>
    </x:row>
    <x:row r="269">
      <x:c r="A269" s="25"/>
      <x:c r="B269" s="25"/>
      <x:c r="C269" s="25"/>
      <x:c r="D269" s="25"/>
      <x:c r="E269" s="25"/>
      <x:c r="F269" s="25"/>
      <x:c r="G269" s="25"/>
      <x:c r="H269" s="25"/>
      <x:c r="I269" s="25"/>
      <x:c r="J269" s="25"/>
      <x:c r="K269" s="25"/>
      <x:c r="L269" s="25"/>
      <x:c r="M269" s="25"/>
      <x:c r="N269" s="25"/>
      <x:c r="O269" s="25"/>
      <x:c r="P269" s="25"/>
      <x:c r="Q269" s="25"/>
      <x:c r="R269" s="25"/>
      <x:c r="S269" s="25"/>
      <x:c r="T269" s="25"/>
      <x:c r="U269" s="25"/>
      <x:c r="V269" s="25"/>
      <x:c r="W269" s="25"/>
      <x:c r="X269" s="25"/>
      <x:c r="Y269" s="25"/>
      <x:c r="Z269" s="25"/>
    </x:row>
    <x:row r="270">
      <x:c r="A270" s="25"/>
      <x:c r="B270" s="25"/>
      <x:c r="C270" s="25"/>
      <x:c r="D270" s="25"/>
      <x:c r="E270" s="25"/>
      <x:c r="F270" s="25"/>
      <x:c r="G270" s="25"/>
      <x:c r="H270" s="25"/>
      <x:c r="I270" s="25"/>
      <x:c r="J270" s="25"/>
      <x:c r="K270" s="25"/>
      <x:c r="L270" s="25"/>
      <x:c r="M270" s="25"/>
      <x:c r="N270" s="25"/>
      <x:c r="O270" s="25"/>
      <x:c r="P270" s="25"/>
      <x:c r="Q270" s="25"/>
      <x:c r="R270" s="25"/>
      <x:c r="S270" s="25"/>
      <x:c r="T270" s="25"/>
      <x:c r="U270" s="25"/>
      <x:c r="V270" s="25"/>
      <x:c r="W270" s="25"/>
      <x:c r="X270" s="25"/>
      <x:c r="Y270" s="25"/>
      <x:c r="Z270" s="25"/>
    </x:row>
    <x:row r="271">
      <x:c r="A271" s="25"/>
      <x:c r="B271" s="25"/>
      <x:c r="C271" s="25"/>
      <x:c r="D271" s="25"/>
      <x:c r="E271" s="25"/>
      <x:c r="F271" s="25"/>
      <x:c r="G271" s="25"/>
      <x:c r="H271" s="25"/>
      <x:c r="I271" s="25"/>
      <x:c r="J271" s="25"/>
      <x:c r="K271" s="25"/>
      <x:c r="L271" s="25"/>
      <x:c r="M271" s="25"/>
      <x:c r="N271" s="25"/>
      <x:c r="O271" s="25"/>
      <x:c r="P271" s="25"/>
      <x:c r="Q271" s="25"/>
      <x:c r="R271" s="25"/>
      <x:c r="S271" s="25"/>
      <x:c r="T271" s="25"/>
      <x:c r="U271" s="25"/>
      <x:c r="V271" s="25"/>
      <x:c r="W271" s="25"/>
      <x:c r="X271" s="25"/>
      <x:c r="Y271" s="25"/>
      <x:c r="Z271" s="25"/>
    </x:row>
    <x:row r="272">
      <x:c r="A272" s="25"/>
      <x:c r="B272" s="25"/>
      <x:c r="C272" s="25"/>
      <x:c r="D272" s="25"/>
      <x:c r="E272" s="25"/>
      <x:c r="F272" s="25"/>
      <x:c r="G272" s="25"/>
      <x:c r="H272" s="25"/>
      <x:c r="I272" s="25"/>
      <x:c r="J272" s="25"/>
      <x:c r="K272" s="25"/>
      <x:c r="L272" s="25"/>
      <x:c r="M272" s="25"/>
      <x:c r="N272" s="25"/>
      <x:c r="O272" s="25"/>
      <x:c r="P272" s="25"/>
      <x:c r="Q272" s="25"/>
      <x:c r="R272" s="25"/>
      <x:c r="S272" s="25"/>
      <x:c r="T272" s="25"/>
      <x:c r="U272" s="25"/>
      <x:c r="V272" s="25"/>
      <x:c r="W272" s="25"/>
      <x:c r="X272" s="25"/>
      <x:c r="Y272" s="25"/>
      <x:c r="Z272" s="25"/>
    </x:row>
    <x:row r="273">
      <x:c r="A273" s="25"/>
      <x:c r="B273" s="25"/>
      <x:c r="C273" s="25"/>
      <x:c r="D273" s="25"/>
      <x:c r="E273" s="25"/>
      <x:c r="F273" s="25"/>
      <x:c r="G273" s="25"/>
      <x:c r="H273" s="25"/>
      <x:c r="I273" s="25"/>
      <x:c r="J273" s="25"/>
      <x:c r="K273" s="25"/>
      <x:c r="L273" s="25"/>
      <x:c r="M273" s="25"/>
      <x:c r="N273" s="25"/>
      <x:c r="O273" s="25"/>
      <x:c r="P273" s="25"/>
      <x:c r="Q273" s="25"/>
      <x:c r="R273" s="25"/>
      <x:c r="S273" s="25"/>
      <x:c r="T273" s="25"/>
      <x:c r="U273" s="25"/>
      <x:c r="V273" s="25"/>
      <x:c r="W273" s="25"/>
      <x:c r="X273" s="25"/>
      <x:c r="Y273" s="25"/>
      <x:c r="Z273" s="25"/>
    </x:row>
    <x:row r="274">
      <x:c r="A274" s="25"/>
      <x:c r="B274" s="25"/>
      <x:c r="C274" s="25"/>
      <x:c r="D274" s="25"/>
      <x:c r="E274" s="25"/>
      <x:c r="F274" s="25"/>
      <x:c r="G274" s="25"/>
      <x:c r="H274" s="25"/>
      <x:c r="I274" s="25"/>
      <x:c r="J274" s="25"/>
      <x:c r="K274" s="25"/>
      <x:c r="L274" s="25"/>
      <x:c r="M274" s="25"/>
      <x:c r="N274" s="25"/>
      <x:c r="O274" s="25"/>
      <x:c r="P274" s="25"/>
      <x:c r="Q274" s="25"/>
      <x:c r="R274" s="25"/>
      <x:c r="S274" s="25"/>
      <x:c r="T274" s="25"/>
      <x:c r="U274" s="25"/>
      <x:c r="V274" s="25"/>
      <x:c r="W274" s="25"/>
      <x:c r="X274" s="25"/>
      <x:c r="Y274" s="25"/>
      <x:c r="Z274" s="25"/>
    </x:row>
    <x:row r="275">
      <x:c r="A275" s="25"/>
      <x:c r="B275" s="25"/>
      <x:c r="C275" s="25"/>
      <x:c r="D275" s="25"/>
      <x:c r="E275" s="25"/>
      <x:c r="F275" s="25"/>
      <x:c r="G275" s="25"/>
      <x:c r="H275" s="25"/>
      <x:c r="I275" s="25"/>
      <x:c r="J275" s="25"/>
      <x:c r="K275" s="25"/>
      <x:c r="L275" s="25"/>
      <x:c r="M275" s="25"/>
      <x:c r="N275" s="25"/>
      <x:c r="O275" s="25"/>
      <x:c r="P275" s="25"/>
      <x:c r="Q275" s="25"/>
      <x:c r="R275" s="25"/>
      <x:c r="S275" s="25"/>
      <x:c r="T275" s="25"/>
      <x:c r="U275" s="25"/>
      <x:c r="V275" s="25"/>
      <x:c r="W275" s="25"/>
      <x:c r="X275" s="25"/>
      <x:c r="Y275" s="25"/>
      <x:c r="Z275" s="25"/>
    </x:row>
    <x:row r="276">
      <x:c r="A276" s="25"/>
      <x:c r="B276" s="25"/>
      <x:c r="C276" s="25"/>
      <x:c r="D276" s="25"/>
      <x:c r="E276" s="25"/>
      <x:c r="F276" s="25"/>
      <x:c r="G276" s="25"/>
      <x:c r="H276" s="25"/>
      <x:c r="I276" s="25"/>
      <x:c r="J276" s="25"/>
      <x:c r="K276" s="25"/>
      <x:c r="L276" s="25"/>
      <x:c r="M276" s="25"/>
      <x:c r="N276" s="25"/>
      <x:c r="O276" s="25"/>
      <x:c r="P276" s="25"/>
      <x:c r="Q276" s="25"/>
      <x:c r="R276" s="25"/>
      <x:c r="S276" s="25"/>
      <x:c r="T276" s="25"/>
      <x:c r="U276" s="25"/>
      <x:c r="V276" s="25"/>
      <x:c r="W276" s="25"/>
      <x:c r="X276" s="25"/>
      <x:c r="Y276" s="25"/>
      <x:c r="Z276" s="25"/>
    </x:row>
    <x:row r="277">
      <x:c r="A277" s="25"/>
      <x:c r="B277" s="25"/>
      <x:c r="C277" s="25"/>
      <x:c r="D277" s="25"/>
      <x:c r="E277" s="25"/>
      <x:c r="F277" s="25"/>
      <x:c r="G277" s="25"/>
      <x:c r="H277" s="25"/>
      <x:c r="I277" s="25"/>
      <x:c r="J277" s="25"/>
      <x:c r="K277" s="25"/>
      <x:c r="L277" s="25"/>
      <x:c r="M277" s="25"/>
      <x:c r="N277" s="25"/>
      <x:c r="O277" s="25"/>
      <x:c r="P277" s="25"/>
      <x:c r="Q277" s="25"/>
      <x:c r="R277" s="25"/>
      <x:c r="S277" s="25"/>
      <x:c r="T277" s="25"/>
      <x:c r="U277" s="25"/>
      <x:c r="V277" s="25"/>
      <x:c r="W277" s="25"/>
      <x:c r="X277" s="25"/>
      <x:c r="Y277" s="25"/>
      <x:c r="Z277" s="25"/>
    </x:row>
    <x:row r="278">
      <x:c r="A278" s="25"/>
      <x:c r="B278" s="25"/>
      <x:c r="C278" s="25"/>
      <x:c r="D278" s="25"/>
      <x:c r="E278" s="25"/>
      <x:c r="F278" s="25"/>
      <x:c r="G278" s="25"/>
      <x:c r="H278" s="25"/>
      <x:c r="I278" s="25"/>
      <x:c r="J278" s="25"/>
      <x:c r="K278" s="25"/>
      <x:c r="L278" s="25"/>
      <x:c r="M278" s="25"/>
      <x:c r="N278" s="25"/>
      <x:c r="O278" s="25"/>
      <x:c r="P278" s="25"/>
      <x:c r="Q278" s="25"/>
      <x:c r="R278" s="25"/>
      <x:c r="S278" s="25"/>
      <x:c r="T278" s="25"/>
      <x:c r="U278" s="25"/>
      <x:c r="V278" s="25"/>
      <x:c r="W278" s="25"/>
      <x:c r="X278" s="25"/>
      <x:c r="Y278" s="25"/>
      <x:c r="Z278" s="25"/>
    </x:row>
    <x:row r="279">
      <x:c r="A279" s="25"/>
      <x:c r="B279" s="25"/>
      <x:c r="C279" s="25"/>
      <x:c r="D279" s="25"/>
      <x:c r="E279" s="25"/>
      <x:c r="F279" s="25"/>
      <x:c r="G279" s="25"/>
      <x:c r="H279" s="25"/>
      <x:c r="I279" s="25"/>
      <x:c r="J279" s="25"/>
      <x:c r="K279" s="25"/>
      <x:c r="L279" s="25"/>
      <x:c r="M279" s="25"/>
      <x:c r="N279" s="25"/>
      <x:c r="O279" s="25"/>
      <x:c r="P279" s="25"/>
      <x:c r="Q279" s="25"/>
      <x:c r="R279" s="25"/>
      <x:c r="S279" s="25"/>
      <x:c r="T279" s="25"/>
      <x:c r="U279" s="25"/>
      <x:c r="V279" s="25"/>
      <x:c r="W279" s="25"/>
      <x:c r="X279" s="25"/>
      <x:c r="Y279" s="25"/>
      <x:c r="Z279" s="25"/>
    </x:row>
    <x:row r="280">
      <x:c r="A280" s="25"/>
      <x:c r="B280" s="25"/>
      <x:c r="C280" s="25"/>
      <x:c r="D280" s="25"/>
      <x:c r="E280" s="25"/>
      <x:c r="F280" s="25"/>
      <x:c r="G280" s="25"/>
      <x:c r="H280" s="25"/>
      <x:c r="I280" s="25"/>
      <x:c r="J280" s="25"/>
      <x:c r="K280" s="25"/>
      <x:c r="L280" s="25"/>
      <x:c r="M280" s="25"/>
      <x:c r="N280" s="25"/>
      <x:c r="O280" s="25"/>
      <x:c r="P280" s="25"/>
      <x:c r="Q280" s="25"/>
      <x:c r="R280" s="25"/>
      <x:c r="S280" s="25"/>
      <x:c r="T280" s="25"/>
      <x:c r="U280" s="25"/>
      <x:c r="V280" s="25"/>
      <x:c r="W280" s="25"/>
      <x:c r="X280" s="25"/>
      <x:c r="Y280" s="25"/>
      <x:c r="Z280" s="25"/>
    </x:row>
    <x:row r="281">
      <x:c r="A281" s="25"/>
      <x:c r="B281" s="25"/>
      <x:c r="C281" s="25"/>
      <x:c r="D281" s="25"/>
      <x:c r="E281" s="25"/>
      <x:c r="F281" s="25"/>
      <x:c r="G281" s="25"/>
      <x:c r="H281" s="25"/>
      <x:c r="I281" s="25"/>
      <x:c r="J281" s="25"/>
      <x:c r="K281" s="25"/>
      <x:c r="L281" s="25"/>
      <x:c r="M281" s="25"/>
      <x:c r="N281" s="25"/>
      <x:c r="O281" s="25"/>
      <x:c r="P281" s="25"/>
      <x:c r="Q281" s="25"/>
      <x:c r="R281" s="25"/>
      <x:c r="S281" s="25"/>
      <x:c r="T281" s="25"/>
      <x:c r="U281" s="25"/>
      <x:c r="V281" s="25"/>
      <x:c r="W281" s="25"/>
      <x:c r="X281" s="25"/>
      <x:c r="Y281" s="25"/>
      <x:c r="Z281" s="25"/>
    </x:row>
    <x:row r="282">
      <x:c r="A282" s="25"/>
      <x:c r="B282" s="25"/>
      <x:c r="C282" s="25"/>
      <x:c r="D282" s="25"/>
      <x:c r="E282" s="25"/>
      <x:c r="F282" s="25"/>
      <x:c r="G282" s="25"/>
      <x:c r="H282" s="25"/>
      <x:c r="I282" s="25"/>
      <x:c r="J282" s="25"/>
      <x:c r="K282" s="25"/>
      <x:c r="L282" s="25"/>
      <x:c r="M282" s="25"/>
      <x:c r="N282" s="25"/>
      <x:c r="O282" s="25"/>
      <x:c r="P282" s="25"/>
      <x:c r="Q282" s="25"/>
      <x:c r="R282" s="25"/>
      <x:c r="S282" s="25"/>
      <x:c r="T282" s="25"/>
      <x:c r="U282" s="25"/>
      <x:c r="V282" s="25"/>
      <x:c r="W282" s="25"/>
      <x:c r="X282" s="25"/>
      <x:c r="Y282" s="25"/>
      <x:c r="Z282" s="25"/>
    </x:row>
    <x:row r="283">
      <x:c r="A283" s="25"/>
      <x:c r="B283" s="25"/>
      <x:c r="C283" s="25"/>
      <x:c r="D283" s="25"/>
      <x:c r="E283" s="25"/>
      <x:c r="F283" s="25"/>
      <x:c r="G283" s="25"/>
      <x:c r="H283" s="25"/>
      <x:c r="I283" s="25"/>
      <x:c r="J283" s="25"/>
      <x:c r="K283" s="25"/>
      <x:c r="L283" s="25"/>
      <x:c r="M283" s="25"/>
      <x:c r="N283" s="25"/>
      <x:c r="O283" s="25"/>
      <x:c r="P283" s="25"/>
      <x:c r="Q283" s="25"/>
      <x:c r="R283" s="25"/>
      <x:c r="S283" s="25"/>
      <x:c r="T283" s="25"/>
      <x:c r="U283" s="25"/>
      <x:c r="V283" s="25"/>
      <x:c r="W283" s="25"/>
      <x:c r="X283" s="25"/>
      <x:c r="Y283" s="25"/>
      <x:c r="Z283" s="25"/>
    </x:row>
    <x:row r="284">
      <x:c r="A284" s="25"/>
      <x:c r="B284" s="25"/>
      <x:c r="C284" s="25"/>
      <x:c r="D284" s="25"/>
      <x:c r="E284" s="25"/>
      <x:c r="F284" s="25"/>
      <x:c r="G284" s="25"/>
      <x:c r="H284" s="25"/>
      <x:c r="I284" s="25"/>
      <x:c r="J284" s="25"/>
      <x:c r="K284" s="25"/>
      <x:c r="L284" s="25"/>
      <x:c r="M284" s="25"/>
      <x:c r="N284" s="25"/>
      <x:c r="O284" s="25"/>
      <x:c r="P284" s="25"/>
      <x:c r="Q284" s="25"/>
      <x:c r="R284" s="25"/>
      <x:c r="S284" s="25"/>
      <x:c r="T284" s="25"/>
      <x:c r="U284" s="25"/>
      <x:c r="V284" s="25"/>
      <x:c r="W284" s="25"/>
      <x:c r="X284" s="25"/>
      <x:c r="Y284" s="25"/>
      <x:c r="Z284" s="25"/>
    </x:row>
    <x:row r="285">
      <x:c r="A285" s="25"/>
      <x:c r="B285" s="25"/>
      <x:c r="C285" s="25"/>
      <x:c r="D285" s="25"/>
      <x:c r="E285" s="25"/>
      <x:c r="F285" s="25"/>
      <x:c r="G285" s="25"/>
      <x:c r="H285" s="25"/>
      <x:c r="I285" s="25"/>
      <x:c r="J285" s="25"/>
      <x:c r="K285" s="25"/>
      <x:c r="L285" s="25"/>
      <x:c r="M285" s="25"/>
      <x:c r="N285" s="25"/>
      <x:c r="O285" s="25"/>
      <x:c r="P285" s="25"/>
      <x:c r="Q285" s="25"/>
      <x:c r="R285" s="25"/>
      <x:c r="S285" s="25"/>
      <x:c r="T285" s="25"/>
      <x:c r="U285" s="25"/>
      <x:c r="V285" s="25"/>
      <x:c r="W285" s="25"/>
      <x:c r="X285" s="25"/>
      <x:c r="Y285" s="25"/>
      <x:c r="Z285" s="25"/>
    </x:row>
    <x:row r="286">
      <x:c r="A286" s="25"/>
      <x:c r="B286" s="25"/>
      <x:c r="C286" s="25"/>
      <x:c r="D286" s="25"/>
      <x:c r="E286" s="25"/>
      <x:c r="F286" s="25"/>
      <x:c r="G286" s="25"/>
      <x:c r="H286" s="25"/>
      <x:c r="I286" s="25"/>
      <x:c r="J286" s="25"/>
      <x:c r="K286" s="25"/>
      <x:c r="L286" s="25"/>
      <x:c r="M286" s="25"/>
      <x:c r="N286" s="25"/>
      <x:c r="O286" s="25"/>
      <x:c r="P286" s="25"/>
      <x:c r="Q286" s="25"/>
      <x:c r="R286" s="25"/>
      <x:c r="S286" s="25"/>
      <x:c r="T286" s="25"/>
      <x:c r="U286" s="25"/>
      <x:c r="V286" s="25"/>
      <x:c r="W286" s="25"/>
      <x:c r="X286" s="25"/>
      <x:c r="Y286" s="25"/>
      <x:c r="Z286" s="25"/>
    </x:row>
    <x:row r="287">
      <x:c r="A287" s="25"/>
      <x:c r="B287" s="25"/>
      <x:c r="C287" s="25"/>
      <x:c r="D287" s="25"/>
      <x:c r="E287" s="25"/>
      <x:c r="F287" s="25"/>
      <x:c r="G287" s="25"/>
      <x:c r="H287" s="25"/>
      <x:c r="I287" s="25"/>
      <x:c r="J287" s="25"/>
      <x:c r="K287" s="25"/>
      <x:c r="L287" s="25"/>
      <x:c r="M287" s="25"/>
      <x:c r="N287" s="25"/>
      <x:c r="O287" s="25"/>
      <x:c r="P287" s="25"/>
      <x:c r="Q287" s="25"/>
      <x:c r="R287" s="25"/>
      <x:c r="S287" s="25"/>
      <x:c r="T287" s="25"/>
      <x:c r="U287" s="25"/>
      <x:c r="V287" s="25"/>
      <x:c r="W287" s="25"/>
      <x:c r="X287" s="25"/>
      <x:c r="Y287" s="25"/>
      <x:c r="Z287" s="25"/>
    </x:row>
    <x:row r="288">
      <x:c r="A288" s="25"/>
      <x:c r="B288" s="25"/>
      <x:c r="C288" s="25"/>
      <x:c r="D288" s="25"/>
      <x:c r="E288" s="25"/>
      <x:c r="F288" s="25"/>
      <x:c r="G288" s="25"/>
      <x:c r="H288" s="25"/>
      <x:c r="I288" s="25"/>
      <x:c r="J288" s="25"/>
      <x:c r="K288" s="25"/>
      <x:c r="L288" s="25"/>
      <x:c r="M288" s="25"/>
      <x:c r="N288" s="25"/>
      <x:c r="O288" s="25"/>
      <x:c r="P288" s="25"/>
      <x:c r="Q288" s="25"/>
      <x:c r="R288" s="25"/>
      <x:c r="S288" s="25"/>
      <x:c r="T288" s="25"/>
      <x:c r="U288" s="25"/>
      <x:c r="V288" s="25"/>
      <x:c r="W288" s="25"/>
      <x:c r="X288" s="25"/>
      <x:c r="Y288" s="25"/>
      <x:c r="Z288" s="25"/>
    </x:row>
    <x:row r="289">
      <x:c r="A289" s="25"/>
      <x:c r="B289" s="25"/>
      <x:c r="C289" s="25"/>
      <x:c r="D289" s="25"/>
      <x:c r="E289" s="25"/>
      <x:c r="F289" s="25"/>
      <x:c r="G289" s="25"/>
      <x:c r="H289" s="25"/>
      <x:c r="I289" s="25"/>
      <x:c r="J289" s="25"/>
      <x:c r="K289" s="25"/>
      <x:c r="L289" s="25"/>
      <x:c r="M289" s="25"/>
      <x:c r="N289" s="25"/>
      <x:c r="O289" s="25"/>
      <x:c r="P289" s="25"/>
      <x:c r="Q289" s="25"/>
      <x:c r="R289" s="25"/>
      <x:c r="S289" s="25"/>
      <x:c r="T289" s="25"/>
      <x:c r="U289" s="25"/>
      <x:c r="V289" s="25"/>
      <x:c r="W289" s="25"/>
      <x:c r="X289" s="25"/>
      <x:c r="Y289" s="25"/>
      <x:c r="Z289" s="25"/>
    </x:row>
    <x:row r="290">
      <x:c r="A290" s="25"/>
      <x:c r="B290" s="25"/>
      <x:c r="C290" s="25"/>
      <x:c r="D290" s="25"/>
      <x:c r="E290" s="25"/>
      <x:c r="F290" s="25"/>
      <x:c r="G290" s="25"/>
      <x:c r="H290" s="25"/>
      <x:c r="I290" s="25"/>
      <x:c r="J290" s="25"/>
      <x:c r="K290" s="25"/>
      <x:c r="L290" s="25"/>
      <x:c r="M290" s="25"/>
      <x:c r="N290" s="25"/>
      <x:c r="O290" s="25"/>
      <x:c r="P290" s="25"/>
      <x:c r="Q290" s="25"/>
      <x:c r="R290" s="25"/>
      <x:c r="S290" s="25"/>
      <x:c r="T290" s="25"/>
      <x:c r="U290" s="25"/>
      <x:c r="V290" s="25"/>
      <x:c r="W290" s="25"/>
      <x:c r="X290" s="25"/>
      <x:c r="Y290" s="25"/>
      <x:c r="Z290" s="25"/>
    </x:row>
    <x:row r="291">
      <x:c r="A291" s="25"/>
      <x:c r="B291" s="25"/>
      <x:c r="C291" s="25"/>
      <x:c r="D291" s="25"/>
      <x:c r="E291" s="25"/>
      <x:c r="F291" s="25"/>
      <x:c r="G291" s="25"/>
      <x:c r="H291" s="25"/>
      <x:c r="I291" s="25"/>
      <x:c r="J291" s="25"/>
      <x:c r="K291" s="25"/>
      <x:c r="L291" s="25"/>
      <x:c r="M291" s="25"/>
      <x:c r="N291" s="25"/>
      <x:c r="O291" s="25"/>
      <x:c r="P291" s="25"/>
      <x:c r="Q291" s="25"/>
      <x:c r="R291" s="25"/>
      <x:c r="S291" s="25"/>
      <x:c r="T291" s="25"/>
      <x:c r="U291" s="25"/>
      <x:c r="V291" s="25"/>
      <x:c r="W291" s="25"/>
      <x:c r="X291" s="25"/>
      <x:c r="Y291" s="25"/>
      <x:c r="Z291" s="25"/>
    </x:row>
    <x:row r="292">
      <x:c r="A292" s="25"/>
      <x:c r="B292" s="25"/>
      <x:c r="C292" s="25"/>
      <x:c r="D292" s="25"/>
      <x:c r="E292" s="25"/>
      <x:c r="F292" s="25"/>
      <x:c r="G292" s="25"/>
      <x:c r="H292" s="25"/>
      <x:c r="I292" s="25"/>
      <x:c r="J292" s="25"/>
      <x:c r="K292" s="25"/>
      <x:c r="L292" s="25"/>
      <x:c r="M292" s="25"/>
      <x:c r="N292" s="25"/>
      <x:c r="O292" s="25"/>
      <x:c r="P292" s="25"/>
      <x:c r="Q292" s="25"/>
      <x:c r="R292" s="25"/>
      <x:c r="S292" s="25"/>
      <x:c r="T292" s="25"/>
      <x:c r="U292" s="25"/>
      <x:c r="V292" s="25"/>
      <x:c r="W292" s="25"/>
      <x:c r="X292" s="25"/>
      <x:c r="Y292" s="25"/>
      <x:c r="Z292" s="25"/>
    </x:row>
    <x:row r="293">
      <x:c r="A293" s="25"/>
      <x:c r="B293" s="25"/>
      <x:c r="C293" s="25"/>
      <x:c r="D293" s="25"/>
      <x:c r="E293" s="25"/>
      <x:c r="F293" s="25"/>
      <x:c r="G293" s="25"/>
      <x:c r="H293" s="25"/>
      <x:c r="I293" s="25"/>
      <x:c r="J293" s="25"/>
      <x:c r="K293" s="25"/>
      <x:c r="L293" s="25"/>
      <x:c r="M293" s="25"/>
      <x:c r="N293" s="25"/>
      <x:c r="O293" s="25"/>
      <x:c r="P293" s="25"/>
      <x:c r="Q293" s="25"/>
      <x:c r="R293" s="25"/>
      <x:c r="S293" s="25"/>
      <x:c r="T293" s="25"/>
      <x:c r="U293" s="25"/>
      <x:c r="V293" s="25"/>
      <x:c r="W293" s="25"/>
      <x:c r="X293" s="25"/>
      <x:c r="Y293" s="25"/>
      <x:c r="Z293" s="25"/>
    </x:row>
    <x:row r="294">
      <x:c r="A294" s="25"/>
      <x:c r="B294" s="25"/>
      <x:c r="C294" s="25"/>
      <x:c r="D294" s="25"/>
      <x:c r="E294" s="25"/>
      <x:c r="F294" s="25"/>
      <x:c r="G294" s="25"/>
      <x:c r="H294" s="25"/>
      <x:c r="I294" s="25"/>
      <x:c r="J294" s="25"/>
      <x:c r="K294" s="25"/>
      <x:c r="L294" s="25"/>
      <x:c r="M294" s="25"/>
      <x:c r="N294" s="25"/>
      <x:c r="O294" s="25"/>
      <x:c r="P294" s="25"/>
      <x:c r="Q294" s="25"/>
      <x:c r="R294" s="25"/>
      <x:c r="S294" s="25"/>
      <x:c r="T294" s="25"/>
      <x:c r="U294" s="25"/>
      <x:c r="V294" s="25"/>
      <x:c r="W294" s="25"/>
      <x:c r="X294" s="25"/>
      <x:c r="Y294" s="25"/>
      <x:c r="Z294" s="25"/>
    </x:row>
    <x:row r="295">
      <x:c r="A295" s="25"/>
      <x:c r="B295" s="25"/>
      <x:c r="C295" s="25"/>
      <x:c r="D295" s="25"/>
      <x:c r="E295" s="25"/>
      <x:c r="F295" s="25"/>
      <x:c r="G295" s="25"/>
      <x:c r="H295" s="25"/>
      <x:c r="I295" s="25"/>
      <x:c r="J295" s="25"/>
      <x:c r="K295" s="25"/>
      <x:c r="L295" s="25"/>
      <x:c r="M295" s="25"/>
      <x:c r="N295" s="25"/>
      <x:c r="O295" s="25"/>
      <x:c r="P295" s="25"/>
      <x:c r="Q295" s="25"/>
      <x:c r="R295" s="25"/>
      <x:c r="S295" s="25"/>
      <x:c r="T295" s="25"/>
      <x:c r="U295" s="25"/>
      <x:c r="V295" s="25"/>
      <x:c r="W295" s="25"/>
      <x:c r="X295" s="25"/>
      <x:c r="Y295" s="25"/>
      <x:c r="Z295" s="25"/>
    </x:row>
    <x:row r="296">
      <x:c r="A296" s="25"/>
      <x:c r="B296" s="25"/>
      <x:c r="C296" s="25"/>
      <x:c r="D296" s="25"/>
      <x:c r="E296" s="25"/>
      <x:c r="F296" s="25"/>
      <x:c r="G296" s="25"/>
      <x:c r="H296" s="25"/>
      <x:c r="I296" s="25"/>
      <x:c r="J296" s="25"/>
      <x:c r="K296" s="25"/>
      <x:c r="L296" s="25"/>
      <x:c r="M296" s="25"/>
      <x:c r="N296" s="25"/>
      <x:c r="O296" s="25"/>
      <x:c r="P296" s="25"/>
      <x:c r="Q296" s="25"/>
      <x:c r="R296" s="25"/>
      <x:c r="S296" s="25"/>
      <x:c r="T296" s="25"/>
      <x:c r="U296" s="25"/>
      <x:c r="V296" s="25"/>
      <x:c r="W296" s="25"/>
      <x:c r="X296" s="25"/>
      <x:c r="Y296" s="25"/>
      <x:c r="Z296" s="25"/>
    </x:row>
    <x:row r="297">
      <x:c r="A297" s="25"/>
      <x:c r="B297" s="25"/>
      <x:c r="C297" s="25"/>
      <x:c r="D297" s="25"/>
      <x:c r="E297" s="25"/>
      <x:c r="F297" s="25"/>
      <x:c r="G297" s="25"/>
      <x:c r="H297" s="25"/>
      <x:c r="I297" s="25"/>
      <x:c r="J297" s="25"/>
      <x:c r="K297" s="25"/>
      <x:c r="L297" s="25"/>
      <x:c r="M297" s="25"/>
      <x:c r="N297" s="25"/>
      <x:c r="O297" s="25"/>
      <x:c r="P297" s="25"/>
      <x:c r="Q297" s="25"/>
      <x:c r="R297" s="25"/>
      <x:c r="S297" s="25"/>
      <x:c r="T297" s="25"/>
      <x:c r="U297" s="25"/>
      <x:c r="V297" s="25"/>
      <x:c r="W297" s="25"/>
      <x:c r="X297" s="25"/>
      <x:c r="Y297" s="25"/>
      <x:c r="Z297" s="25"/>
    </x:row>
    <x:row r="298">
      <x:c r="A298" s="25"/>
      <x:c r="B298" s="25"/>
      <x:c r="C298" s="25"/>
      <x:c r="D298" s="25"/>
      <x:c r="E298" s="25"/>
      <x:c r="F298" s="25"/>
      <x:c r="G298" s="25"/>
      <x:c r="H298" s="25"/>
      <x:c r="I298" s="25"/>
      <x:c r="J298" s="25"/>
      <x:c r="K298" s="25"/>
      <x:c r="L298" s="25"/>
      <x:c r="M298" s="25"/>
      <x:c r="N298" s="25"/>
      <x:c r="O298" s="25"/>
      <x:c r="P298" s="25"/>
      <x:c r="Q298" s="25"/>
      <x:c r="R298" s="25"/>
      <x:c r="S298" s="25"/>
      <x:c r="T298" s="25"/>
      <x:c r="U298" s="25"/>
      <x:c r="V298" s="25"/>
      <x:c r="W298" s="25"/>
      <x:c r="X298" s="25"/>
      <x:c r="Y298" s="25"/>
      <x:c r="Z298" s="25"/>
    </x:row>
    <x:row r="299">
      <x:c r="A299" s="25"/>
      <x:c r="B299" s="25"/>
      <x:c r="C299" s="25"/>
      <x:c r="D299" s="25"/>
      <x:c r="E299" s="25"/>
      <x:c r="F299" s="25"/>
      <x:c r="G299" s="25"/>
      <x:c r="H299" s="25"/>
      <x:c r="I299" s="25"/>
      <x:c r="J299" s="25"/>
      <x:c r="K299" s="25"/>
      <x:c r="L299" s="25"/>
      <x:c r="M299" s="25"/>
      <x:c r="N299" s="25"/>
      <x:c r="O299" s="25"/>
      <x:c r="P299" s="25"/>
      <x:c r="Q299" s="25"/>
      <x:c r="R299" s="25"/>
      <x:c r="S299" s="25"/>
      <x:c r="T299" s="25"/>
      <x:c r="U299" s="25"/>
      <x:c r="V299" s="25"/>
      <x:c r="W299" s="25"/>
      <x:c r="X299" s="25"/>
      <x:c r="Y299" s="25"/>
      <x:c r="Z299" s="25"/>
    </x:row>
    <x:row r="300">
      <x:c r="A300" s="25"/>
      <x:c r="B300" s="25"/>
      <x:c r="C300" s="25"/>
      <x:c r="D300" s="25"/>
      <x:c r="E300" s="25"/>
      <x:c r="F300" s="25"/>
      <x:c r="G300" s="25"/>
      <x:c r="H300" s="25"/>
      <x:c r="I300" s="25"/>
      <x:c r="J300" s="25"/>
      <x:c r="K300" s="25"/>
      <x:c r="L300" s="25"/>
      <x:c r="M300" s="25"/>
      <x:c r="N300" s="25"/>
      <x:c r="O300" s="25"/>
      <x:c r="P300" s="25"/>
      <x:c r="Q300" s="25"/>
      <x:c r="R300" s="25"/>
      <x:c r="S300" s="25"/>
      <x:c r="T300" s="25"/>
      <x:c r="U300" s="25"/>
      <x:c r="V300" s="25"/>
      <x:c r="W300" s="25"/>
      <x:c r="X300" s="25"/>
      <x:c r="Y300" s="25"/>
      <x:c r="Z300" s="25"/>
    </x:row>
    <x:row r="301">
      <x:c r="A301" s="25"/>
      <x:c r="B301" s="25"/>
      <x:c r="C301" s="25"/>
      <x:c r="D301" s="25"/>
      <x:c r="E301" s="25"/>
      <x:c r="F301" s="25"/>
      <x:c r="G301" s="25"/>
      <x:c r="H301" s="25"/>
      <x:c r="I301" s="25"/>
      <x:c r="J301" s="25"/>
      <x:c r="K301" s="25"/>
      <x:c r="L301" s="25"/>
      <x:c r="M301" s="25"/>
      <x:c r="N301" s="25"/>
      <x:c r="O301" s="25"/>
      <x:c r="P301" s="25"/>
      <x:c r="Q301" s="25"/>
      <x:c r="R301" s="25"/>
      <x:c r="S301" s="25"/>
      <x:c r="T301" s="25"/>
      <x:c r="U301" s="25"/>
      <x:c r="V301" s="25"/>
      <x:c r="W301" s="25"/>
      <x:c r="X301" s="25"/>
      <x:c r="Y301" s="25"/>
      <x:c r="Z301" s="25"/>
    </x:row>
    <x:row r="302">
      <x:c r="A302" s="25"/>
      <x:c r="B302" s="25"/>
      <x:c r="C302" s="25"/>
      <x:c r="D302" s="25"/>
      <x:c r="E302" s="25"/>
      <x:c r="F302" s="25"/>
      <x:c r="G302" s="25"/>
      <x:c r="H302" s="25"/>
      <x:c r="I302" s="25"/>
      <x:c r="J302" s="25"/>
      <x:c r="K302" s="25"/>
      <x:c r="L302" s="25"/>
      <x:c r="M302" s="25"/>
      <x:c r="N302" s="25"/>
      <x:c r="O302" s="25"/>
      <x:c r="P302" s="25"/>
      <x:c r="Q302" s="25"/>
      <x:c r="R302" s="25"/>
      <x:c r="S302" s="25"/>
      <x:c r="T302" s="25"/>
      <x:c r="U302" s="25"/>
      <x:c r="V302" s="25"/>
      <x:c r="W302" s="25"/>
      <x:c r="X302" s="25"/>
      <x:c r="Y302" s="25"/>
      <x:c r="Z302" s="25"/>
    </x:row>
    <x:row r="303">
      <x:c r="A303" s="25"/>
      <x:c r="B303" s="25"/>
      <x:c r="C303" s="25"/>
      <x:c r="D303" s="25"/>
      <x:c r="E303" s="25"/>
      <x:c r="F303" s="25"/>
      <x:c r="G303" s="25"/>
      <x:c r="H303" s="25"/>
      <x:c r="I303" s="25"/>
      <x:c r="J303" s="25"/>
      <x:c r="K303" s="25"/>
      <x:c r="L303" s="25"/>
      <x:c r="M303" s="25"/>
      <x:c r="N303" s="25"/>
      <x:c r="O303" s="25"/>
      <x:c r="P303" s="25"/>
      <x:c r="Q303" s="25"/>
      <x:c r="R303" s="25"/>
      <x:c r="S303" s="25"/>
      <x:c r="T303" s="25"/>
      <x:c r="U303" s="25"/>
      <x:c r="V303" s="25"/>
      <x:c r="W303" s="25"/>
      <x:c r="X303" s="25"/>
      <x:c r="Y303" s="25"/>
      <x:c r="Z303" s="25"/>
    </x:row>
    <x:row r="304">
      <x:c r="A304" s="25"/>
      <x:c r="B304" s="25"/>
      <x:c r="C304" s="25"/>
      <x:c r="D304" s="25"/>
      <x:c r="E304" s="25"/>
      <x:c r="F304" s="25"/>
      <x:c r="G304" s="25"/>
      <x:c r="H304" s="25"/>
      <x:c r="I304" s="25"/>
      <x:c r="J304" s="25"/>
      <x:c r="K304" s="25"/>
      <x:c r="L304" s="25"/>
      <x:c r="M304" s="25"/>
      <x:c r="N304" s="25"/>
      <x:c r="O304" s="25"/>
      <x:c r="P304" s="25"/>
      <x:c r="Q304" s="25"/>
      <x:c r="R304" s="25"/>
      <x:c r="S304" s="25"/>
      <x:c r="T304" s="25"/>
      <x:c r="U304" s="25"/>
      <x:c r="V304" s="25"/>
      <x:c r="W304" s="25"/>
      <x:c r="X304" s="25"/>
      <x:c r="Y304" s="25"/>
      <x:c r="Z304" s="25"/>
    </x:row>
    <x:row r="305">
      <x:c r="A305" s="25"/>
      <x:c r="B305" s="25"/>
      <x:c r="C305" s="25"/>
      <x:c r="D305" s="25"/>
      <x:c r="E305" s="25"/>
      <x:c r="F305" s="25"/>
      <x:c r="G305" s="25"/>
      <x:c r="H305" s="25"/>
      <x:c r="I305" s="25"/>
      <x:c r="J305" s="25"/>
      <x:c r="K305" s="25"/>
      <x:c r="L305" s="25"/>
      <x:c r="M305" s="25"/>
      <x:c r="N305" s="25"/>
      <x:c r="O305" s="25"/>
      <x:c r="P305" s="25"/>
      <x:c r="Q305" s="25"/>
      <x:c r="R305" s="25"/>
      <x:c r="S305" s="25"/>
      <x:c r="T305" s="25"/>
      <x:c r="U305" s="25"/>
      <x:c r="V305" s="25"/>
      <x:c r="W305" s="25"/>
      <x:c r="X305" s="25"/>
      <x:c r="Y305" s="25"/>
      <x:c r="Z305" s="25"/>
    </x:row>
    <x:row r="306">
      <x:c r="A306" s="25"/>
      <x:c r="B306" s="25"/>
      <x:c r="C306" s="25"/>
      <x:c r="D306" s="25"/>
      <x:c r="E306" s="25"/>
      <x:c r="F306" s="25"/>
      <x:c r="G306" s="25"/>
      <x:c r="H306" s="25"/>
      <x:c r="I306" s="25"/>
      <x:c r="J306" s="25"/>
      <x:c r="K306" s="25"/>
      <x:c r="L306" s="25"/>
      <x:c r="M306" s="25"/>
      <x:c r="N306" s="25"/>
      <x:c r="O306" s="25"/>
      <x:c r="P306" s="25"/>
      <x:c r="Q306" s="25"/>
      <x:c r="R306" s="25"/>
      <x:c r="S306" s="25"/>
      <x:c r="T306" s="25"/>
      <x:c r="U306" s="25"/>
      <x:c r="V306" s="25"/>
      <x:c r="W306" s="25"/>
      <x:c r="X306" s="25"/>
      <x:c r="Y306" s="25"/>
      <x:c r="Z306" s="25"/>
    </x:row>
    <x:row r="307">
      <x:c r="A307" s="25"/>
      <x:c r="B307" s="25"/>
      <x:c r="C307" s="25"/>
      <x:c r="D307" s="25"/>
      <x:c r="E307" s="25"/>
      <x:c r="F307" s="25"/>
      <x:c r="G307" s="25"/>
      <x:c r="H307" s="25"/>
      <x:c r="I307" s="25"/>
      <x:c r="J307" s="25"/>
      <x:c r="K307" s="25"/>
      <x:c r="L307" s="25"/>
      <x:c r="M307" s="25"/>
      <x:c r="N307" s="25"/>
      <x:c r="O307" s="25"/>
      <x:c r="P307" s="25"/>
      <x:c r="Q307" s="25"/>
      <x:c r="R307" s="25"/>
      <x:c r="S307" s="25"/>
      <x:c r="T307" s="25"/>
      <x:c r="U307" s="25"/>
      <x:c r="V307" s="25"/>
      <x:c r="W307" s="25"/>
      <x:c r="X307" s="25"/>
      <x:c r="Y307" s="25"/>
      <x:c r="Z307" s="25"/>
    </x:row>
    <x:row r="308">
      <x:c r="A308" s="25"/>
      <x:c r="B308" s="25"/>
      <x:c r="C308" s="25"/>
      <x:c r="D308" s="25"/>
      <x:c r="E308" s="25"/>
      <x:c r="F308" s="25"/>
      <x:c r="G308" s="25"/>
      <x:c r="H308" s="25"/>
      <x:c r="I308" s="25"/>
      <x:c r="J308" s="25"/>
      <x:c r="K308" s="25"/>
      <x:c r="L308" s="25"/>
      <x:c r="M308" s="25"/>
      <x:c r="N308" s="25"/>
      <x:c r="O308" s="25"/>
      <x:c r="P308" s="25"/>
      <x:c r="Q308" s="25"/>
      <x:c r="R308" s="25"/>
      <x:c r="S308" s="25"/>
      <x:c r="T308" s="25"/>
      <x:c r="U308" s="25"/>
      <x:c r="V308" s="25"/>
      <x:c r="W308" s="25"/>
      <x:c r="X308" s="25"/>
      <x:c r="Y308" s="25"/>
      <x:c r="Z308" s="25"/>
    </x:row>
    <x:row r="309">
      <x:c r="A309" s="25"/>
      <x:c r="B309" s="25"/>
      <x:c r="C309" s="25"/>
      <x:c r="D309" s="25"/>
      <x:c r="E309" s="25"/>
      <x:c r="F309" s="25"/>
      <x:c r="G309" s="25"/>
      <x:c r="H309" s="25"/>
      <x:c r="I309" s="25"/>
      <x:c r="J309" s="25"/>
      <x:c r="K309" s="25"/>
      <x:c r="L309" s="25"/>
      <x:c r="M309" s="25"/>
      <x:c r="N309" s="25"/>
      <x:c r="O309" s="25"/>
      <x:c r="P309" s="25"/>
      <x:c r="Q309" s="25"/>
      <x:c r="R309" s="25"/>
      <x:c r="S309" s="25"/>
      <x:c r="T309" s="25"/>
      <x:c r="U309" s="25"/>
      <x:c r="V309" s="25"/>
      <x:c r="W309" s="25"/>
      <x:c r="X309" s="25"/>
      <x:c r="Y309" s="25"/>
      <x:c r="Z309" s="25"/>
    </x:row>
    <x:row r="310">
      <x:c r="A310" s="25"/>
      <x:c r="B310" s="25"/>
      <x:c r="C310" s="25"/>
      <x:c r="D310" s="25"/>
      <x:c r="E310" s="25"/>
      <x:c r="F310" s="25"/>
      <x:c r="G310" s="25"/>
      <x:c r="H310" s="25"/>
      <x:c r="I310" s="25"/>
      <x:c r="J310" s="25"/>
      <x:c r="K310" s="25"/>
      <x:c r="L310" s="25"/>
      <x:c r="M310" s="25"/>
      <x:c r="N310" s="25"/>
      <x:c r="O310" s="25"/>
      <x:c r="P310" s="25"/>
      <x:c r="Q310" s="25"/>
      <x:c r="R310" s="25"/>
      <x:c r="S310" s="25"/>
      <x:c r="T310" s="25"/>
      <x:c r="U310" s="25"/>
      <x:c r="V310" s="25"/>
      <x:c r="W310" s="25"/>
      <x:c r="X310" s="25"/>
      <x:c r="Y310" s="25"/>
      <x:c r="Z310" s="25"/>
    </x:row>
    <x:row r="311">
      <x:c r="A311" s="25"/>
      <x:c r="B311" s="25"/>
      <x:c r="C311" s="25"/>
      <x:c r="D311" s="25"/>
      <x:c r="E311" s="25"/>
      <x:c r="F311" s="25"/>
      <x:c r="G311" s="25"/>
      <x:c r="H311" s="25"/>
      <x:c r="I311" s="25"/>
      <x:c r="J311" s="25"/>
      <x:c r="K311" s="25"/>
      <x:c r="L311" s="25"/>
      <x:c r="M311" s="25"/>
      <x:c r="N311" s="25"/>
      <x:c r="O311" s="25"/>
      <x:c r="P311" s="25"/>
      <x:c r="Q311" s="25"/>
      <x:c r="R311" s="25"/>
      <x:c r="S311" s="25"/>
      <x:c r="T311" s="25"/>
      <x:c r="U311" s="25"/>
      <x:c r="V311" s="25"/>
      <x:c r="W311" s="25"/>
      <x:c r="X311" s="25"/>
      <x:c r="Y311" s="25"/>
      <x:c r="Z311" s="25"/>
    </x:row>
    <x:row r="312">
      <x:c r="A312" s="25"/>
      <x:c r="B312" s="25"/>
      <x:c r="C312" s="25"/>
      <x:c r="D312" s="25"/>
      <x:c r="E312" s="25"/>
      <x:c r="F312" s="25"/>
      <x:c r="G312" s="25"/>
      <x:c r="H312" s="25"/>
      <x:c r="I312" s="25"/>
      <x:c r="J312" s="25"/>
      <x:c r="K312" s="25"/>
      <x:c r="L312" s="25"/>
      <x:c r="M312" s="25"/>
      <x:c r="N312" s="25"/>
      <x:c r="O312" s="25"/>
      <x:c r="P312" s="25"/>
      <x:c r="Q312" s="25"/>
      <x:c r="R312" s="25"/>
      <x:c r="S312" s="25"/>
      <x:c r="T312" s="25"/>
      <x:c r="U312" s="25"/>
      <x:c r="V312" s="25"/>
      <x:c r="W312" s="25"/>
      <x:c r="X312" s="25"/>
      <x:c r="Y312" s="25"/>
      <x:c r="Z312" s="25"/>
    </x:row>
    <x:row r="313">
      <x:c r="A313" s="25"/>
      <x:c r="B313" s="25"/>
      <x:c r="C313" s="25"/>
      <x:c r="D313" s="25"/>
      <x:c r="E313" s="25"/>
      <x:c r="F313" s="25"/>
      <x:c r="G313" s="25"/>
      <x:c r="H313" s="25"/>
      <x:c r="I313" s="25"/>
      <x:c r="J313" s="25"/>
      <x:c r="K313" s="25"/>
      <x:c r="L313" s="25"/>
      <x:c r="M313" s="25"/>
      <x:c r="N313" s="25"/>
      <x:c r="O313" s="25"/>
      <x:c r="P313" s="25"/>
      <x:c r="Q313" s="25"/>
      <x:c r="R313" s="25"/>
      <x:c r="S313" s="25"/>
      <x:c r="T313" s="25"/>
      <x:c r="U313" s="25"/>
      <x:c r="V313" s="25"/>
      <x:c r="W313" s="25"/>
      <x:c r="X313" s="25"/>
      <x:c r="Y313" s="25"/>
      <x:c r="Z313" s="25"/>
    </x:row>
    <x:row r="314">
      <x:c r="A314" s="25"/>
      <x:c r="B314" s="25"/>
      <x:c r="C314" s="25"/>
      <x:c r="D314" s="25"/>
      <x:c r="E314" s="25"/>
      <x:c r="F314" s="25"/>
      <x:c r="G314" s="25"/>
      <x:c r="H314" s="25"/>
      <x:c r="I314" s="25"/>
      <x:c r="J314" s="25"/>
      <x:c r="K314" s="25"/>
      <x:c r="L314" s="25"/>
      <x:c r="M314" s="25"/>
      <x:c r="N314" s="25"/>
      <x:c r="O314" s="25"/>
      <x:c r="P314" s="25"/>
      <x:c r="Q314" s="25"/>
      <x:c r="R314" s="25"/>
      <x:c r="S314" s="25"/>
      <x:c r="T314" s="25"/>
      <x:c r="U314" s="25"/>
      <x:c r="V314" s="25"/>
      <x:c r="W314" s="25"/>
      <x:c r="X314" s="25"/>
      <x:c r="Y314" s="25"/>
      <x:c r="Z314" s="25"/>
    </x:row>
    <x:row r="315">
      <x:c r="A315" s="25"/>
      <x:c r="B315" s="25"/>
      <x:c r="C315" s="25"/>
      <x:c r="D315" s="25"/>
      <x:c r="E315" s="25"/>
      <x:c r="F315" s="25"/>
      <x:c r="G315" s="25"/>
      <x:c r="H315" s="25"/>
      <x:c r="I315" s="25"/>
      <x:c r="J315" s="25"/>
      <x:c r="K315" s="25"/>
      <x:c r="L315" s="25"/>
      <x:c r="M315" s="25"/>
      <x:c r="N315" s="25"/>
      <x:c r="O315" s="25"/>
      <x:c r="P315" s="25"/>
      <x:c r="Q315" s="25"/>
      <x:c r="R315" s="25"/>
      <x:c r="S315" s="25"/>
      <x:c r="T315" s="25"/>
      <x:c r="U315" s="25"/>
      <x:c r="V315" s="25"/>
      <x:c r="W315" s="25"/>
      <x:c r="X315" s="25"/>
      <x:c r="Y315" s="25"/>
      <x:c r="Z315" s="25"/>
    </x:row>
    <x:row r="316">
      <x:c r="A316" s="25"/>
      <x:c r="B316" s="25"/>
      <x:c r="C316" s="25"/>
      <x:c r="D316" s="25"/>
      <x:c r="E316" s="25"/>
      <x:c r="F316" s="25"/>
      <x:c r="G316" s="25"/>
      <x:c r="H316" s="25"/>
      <x:c r="I316" s="25"/>
      <x:c r="J316" s="25"/>
      <x:c r="K316" s="25"/>
      <x:c r="L316" s="25"/>
      <x:c r="M316" s="25"/>
      <x:c r="N316" s="25"/>
      <x:c r="O316" s="25"/>
      <x:c r="P316" s="25"/>
      <x:c r="Q316" s="25"/>
      <x:c r="R316" s="25"/>
      <x:c r="S316" s="25"/>
      <x:c r="T316" s="25"/>
      <x:c r="U316" s="25"/>
      <x:c r="V316" s="25"/>
      <x:c r="W316" s="25"/>
      <x:c r="X316" s="25"/>
      <x:c r="Y316" s="25"/>
      <x:c r="Z316" s="25"/>
    </x:row>
    <x:row r="317">
      <x:c r="A317" s="25"/>
      <x:c r="B317" s="25"/>
      <x:c r="C317" s="25"/>
      <x:c r="D317" s="25"/>
      <x:c r="E317" s="25"/>
      <x:c r="F317" s="25"/>
      <x:c r="G317" s="25"/>
      <x:c r="H317" s="25"/>
      <x:c r="I317" s="25"/>
      <x:c r="J317" s="25"/>
      <x:c r="K317" s="25"/>
      <x:c r="L317" s="25"/>
      <x:c r="M317" s="25"/>
      <x:c r="N317" s="25"/>
      <x:c r="O317" s="25"/>
      <x:c r="P317" s="25"/>
      <x:c r="Q317" s="25"/>
      <x:c r="R317" s="25"/>
      <x:c r="S317" s="25"/>
      <x:c r="T317" s="25"/>
      <x:c r="U317" s="25"/>
      <x:c r="V317" s="25"/>
      <x:c r="W317" s="25"/>
      <x:c r="X317" s="25"/>
      <x:c r="Y317" s="25"/>
      <x:c r="Z317" s="25"/>
    </x:row>
    <x:row r="318">
      <x:c r="A318" s="25"/>
      <x:c r="B318" s="25"/>
      <x:c r="C318" s="25"/>
      <x:c r="D318" s="25"/>
      <x:c r="E318" s="25"/>
      <x:c r="F318" s="25"/>
      <x:c r="G318" s="25"/>
      <x:c r="H318" s="25"/>
      <x:c r="I318" s="25"/>
      <x:c r="J318" s="25"/>
      <x:c r="K318" s="25"/>
      <x:c r="L318" s="25"/>
      <x:c r="M318" s="25"/>
      <x:c r="N318" s="25"/>
      <x:c r="O318" s="25"/>
      <x:c r="P318" s="25"/>
      <x:c r="Q318" s="25"/>
      <x:c r="R318" s="25"/>
      <x:c r="S318" s="25"/>
      <x:c r="T318" s="25"/>
      <x:c r="U318" s="25"/>
      <x:c r="V318" s="25"/>
      <x:c r="W318" s="25"/>
      <x:c r="X318" s="25"/>
      <x:c r="Y318" s="25"/>
      <x:c r="Z318" s="25"/>
    </x:row>
    <x:row r="319">
      <x:c r="A319" s="25"/>
      <x:c r="B319" s="25"/>
      <x:c r="C319" s="25"/>
      <x:c r="D319" s="25"/>
      <x:c r="E319" s="25"/>
      <x:c r="F319" s="25"/>
      <x:c r="G319" s="25"/>
      <x:c r="H319" s="25"/>
      <x:c r="I319" s="25"/>
      <x:c r="J319" s="25"/>
      <x:c r="K319" s="25"/>
      <x:c r="L319" s="25"/>
      <x:c r="M319" s="25"/>
      <x:c r="N319" s="25"/>
      <x:c r="O319" s="25"/>
      <x:c r="P319" s="25"/>
      <x:c r="Q319" s="25"/>
      <x:c r="R319" s="25"/>
      <x:c r="S319" s="25"/>
      <x:c r="T319" s="25"/>
      <x:c r="U319" s="25"/>
      <x:c r="V319" s="25"/>
      <x:c r="W319" s="25"/>
      <x:c r="X319" s="25"/>
      <x:c r="Y319" s="25"/>
      <x:c r="Z319" s="25"/>
    </x:row>
    <x:row r="320">
      <x:c r="A320" s="25"/>
      <x:c r="B320" s="25"/>
      <x:c r="C320" s="25"/>
      <x:c r="D320" s="25"/>
      <x:c r="E320" s="25"/>
      <x:c r="F320" s="25"/>
      <x:c r="G320" s="25"/>
      <x:c r="H320" s="25"/>
      <x:c r="I320" s="25"/>
      <x:c r="J320" s="25"/>
      <x:c r="K320" s="25"/>
      <x:c r="L320" s="25"/>
      <x:c r="M320" s="25"/>
      <x:c r="N320" s="25"/>
      <x:c r="O320" s="25"/>
      <x:c r="P320" s="25"/>
      <x:c r="Q320" s="25"/>
      <x:c r="R320" s="25"/>
      <x:c r="S320" s="25"/>
      <x:c r="T320" s="25"/>
      <x:c r="U320" s="25"/>
      <x:c r="V320" s="25"/>
      <x:c r="W320" s="25"/>
      <x:c r="X320" s="25"/>
      <x:c r="Y320" s="25"/>
      <x:c r="Z320" s="25"/>
    </x:row>
    <x:row r="321">
      <x:c r="A321" s="25"/>
      <x:c r="B321" s="25"/>
      <x:c r="C321" s="25"/>
      <x:c r="D321" s="25"/>
      <x:c r="E321" s="25"/>
      <x:c r="F321" s="25"/>
      <x:c r="G321" s="25"/>
      <x:c r="H321" s="25"/>
      <x:c r="I321" s="25"/>
      <x:c r="J321" s="25"/>
      <x:c r="K321" s="25"/>
      <x:c r="L321" s="25"/>
      <x:c r="M321" s="25"/>
      <x:c r="N321" s="25"/>
      <x:c r="O321" s="25"/>
      <x:c r="P321" s="25"/>
      <x:c r="Q321" s="25"/>
      <x:c r="R321" s="25"/>
      <x:c r="S321" s="25"/>
      <x:c r="T321" s="25"/>
      <x:c r="U321" s="25"/>
      <x:c r="V321" s="25"/>
      <x:c r="W321" s="25"/>
      <x:c r="X321" s="25"/>
      <x:c r="Y321" s="25"/>
      <x:c r="Z321" s="25"/>
    </x:row>
    <x:row r="322">
      <x:c r="A322" s="25"/>
      <x:c r="B322" s="25"/>
      <x:c r="C322" s="25"/>
      <x:c r="D322" s="25"/>
      <x:c r="E322" s="25"/>
      <x:c r="F322" s="25"/>
      <x:c r="G322" s="25"/>
      <x:c r="H322" s="25"/>
      <x:c r="I322" s="25"/>
      <x:c r="J322" s="25"/>
      <x:c r="K322" s="25"/>
      <x:c r="L322" s="25"/>
      <x:c r="M322" s="25"/>
      <x:c r="N322" s="25"/>
      <x:c r="O322" s="25"/>
      <x:c r="P322" s="25"/>
      <x:c r="Q322" s="25"/>
      <x:c r="R322" s="25"/>
      <x:c r="S322" s="25"/>
      <x:c r="T322" s="25"/>
      <x:c r="U322" s="25"/>
      <x:c r="V322" s="25"/>
      <x:c r="W322" s="25"/>
      <x:c r="X322" s="25"/>
      <x:c r="Y322" s="25"/>
      <x:c r="Z322" s="25"/>
    </x:row>
    <x:row r="323">
      <x:c r="A323" s="25"/>
      <x:c r="B323" s="25"/>
      <x:c r="C323" s="25"/>
      <x:c r="D323" s="25"/>
      <x:c r="E323" s="25"/>
      <x:c r="F323" s="25"/>
      <x:c r="G323" s="25"/>
      <x:c r="H323" s="25"/>
      <x:c r="I323" s="25"/>
      <x:c r="J323" s="25"/>
      <x:c r="K323" s="25"/>
      <x:c r="L323" s="25"/>
      <x:c r="M323" s="25"/>
      <x:c r="N323" s="25"/>
      <x:c r="O323" s="25"/>
      <x:c r="P323" s="25"/>
      <x:c r="Q323" s="25"/>
      <x:c r="R323" s="25"/>
      <x:c r="S323" s="25"/>
      <x:c r="T323" s="25"/>
      <x:c r="U323" s="25"/>
      <x:c r="V323" s="25"/>
      <x:c r="W323" s="25"/>
      <x:c r="X323" s="25"/>
      <x:c r="Y323" s="25"/>
      <x:c r="Z323" s="25"/>
    </x:row>
    <x:row r="324">
      <x:c r="A324" s="25"/>
      <x:c r="B324" s="25"/>
      <x:c r="C324" s="25"/>
      <x:c r="D324" s="25"/>
      <x:c r="E324" s="25"/>
      <x:c r="F324" s="25"/>
      <x:c r="G324" s="25"/>
      <x:c r="H324" s="25"/>
      <x:c r="I324" s="25"/>
      <x:c r="J324" s="25"/>
      <x:c r="K324" s="25"/>
      <x:c r="L324" s="25"/>
      <x:c r="M324" s="25"/>
      <x:c r="N324" s="25"/>
      <x:c r="O324" s="25"/>
      <x:c r="P324" s="25"/>
      <x:c r="Q324" s="25"/>
      <x:c r="R324" s="25"/>
      <x:c r="S324" s="25"/>
      <x:c r="T324" s="25"/>
      <x:c r="U324" s="25"/>
      <x:c r="V324" s="25"/>
      <x:c r="W324" s="25"/>
      <x:c r="X324" s="25"/>
      <x:c r="Y324" s="25"/>
      <x:c r="Z324" s="25"/>
    </x:row>
    <x:row r="325">
      <x:c r="A325" s="25"/>
      <x:c r="B325" s="25"/>
      <x:c r="C325" s="25"/>
      <x:c r="D325" s="25"/>
      <x:c r="E325" s="25"/>
      <x:c r="F325" s="25"/>
      <x:c r="G325" s="25"/>
      <x:c r="H325" s="25"/>
      <x:c r="I325" s="25"/>
      <x:c r="J325" s="25"/>
      <x:c r="K325" s="25"/>
      <x:c r="L325" s="25"/>
      <x:c r="M325" s="25"/>
      <x:c r="N325" s="25"/>
      <x:c r="O325" s="25"/>
      <x:c r="P325" s="25"/>
      <x:c r="Q325" s="25"/>
      <x:c r="R325" s="25"/>
      <x:c r="S325" s="25"/>
      <x:c r="T325" s="25"/>
      <x:c r="U325" s="25"/>
      <x:c r="V325" s="25"/>
      <x:c r="W325" s="25"/>
      <x:c r="X325" s="25"/>
      <x:c r="Y325" s="25"/>
      <x:c r="Z325" s="25"/>
    </x:row>
    <x:row r="326">
      <x:c r="A326" s="25"/>
      <x:c r="B326" s="25"/>
      <x:c r="C326" s="25"/>
      <x:c r="D326" s="25"/>
      <x:c r="E326" s="25"/>
      <x:c r="F326" s="25"/>
      <x:c r="G326" s="25"/>
      <x:c r="H326" s="25"/>
      <x:c r="I326" s="25"/>
      <x:c r="J326" s="25"/>
      <x:c r="K326" s="25"/>
      <x:c r="L326" s="25"/>
      <x:c r="M326" s="25"/>
      <x:c r="N326" s="25"/>
      <x:c r="O326" s="25"/>
      <x:c r="P326" s="25"/>
      <x:c r="Q326" s="25"/>
      <x:c r="R326" s="25"/>
      <x:c r="S326" s="25"/>
      <x:c r="T326" s="25"/>
      <x:c r="U326" s="25"/>
      <x:c r="V326" s="25"/>
      <x:c r="W326" s="25"/>
      <x:c r="X326" s="25"/>
      <x:c r="Y326" s="25"/>
      <x:c r="Z326" s="25"/>
    </x:row>
    <x:row r="327">
      <x:c r="A327" s="25"/>
      <x:c r="B327" s="25"/>
      <x:c r="C327" s="25"/>
      <x:c r="D327" s="25"/>
      <x:c r="E327" s="25"/>
      <x:c r="F327" s="25"/>
      <x:c r="G327" s="25"/>
      <x:c r="H327" s="25"/>
      <x:c r="I327" s="25"/>
      <x:c r="J327" s="25"/>
      <x:c r="K327" s="25"/>
      <x:c r="L327" s="25"/>
      <x:c r="M327" s="25"/>
      <x:c r="N327" s="25"/>
      <x:c r="O327" s="25"/>
      <x:c r="P327" s="25"/>
      <x:c r="Q327" s="25"/>
      <x:c r="R327" s="25"/>
      <x:c r="S327" s="25"/>
      <x:c r="T327" s="25"/>
      <x:c r="U327" s="25"/>
      <x:c r="V327" s="25"/>
      <x:c r="W327" s="25"/>
      <x:c r="X327" s="25"/>
      <x:c r="Y327" s="25"/>
      <x:c r="Z327" s="25"/>
    </x:row>
    <x:row r="328">
      <x:c r="A328" s="25"/>
      <x:c r="B328" s="25"/>
      <x:c r="C328" s="25"/>
      <x:c r="D328" s="25"/>
      <x:c r="E328" s="25"/>
      <x:c r="F328" s="25"/>
      <x:c r="G328" s="25"/>
      <x:c r="H328" s="25"/>
      <x:c r="I328" s="25"/>
      <x:c r="J328" s="25"/>
      <x:c r="K328" s="25"/>
      <x:c r="L328" s="25"/>
      <x:c r="M328" s="25"/>
      <x:c r="N328" s="25"/>
      <x:c r="O328" s="25"/>
      <x:c r="P328" s="25"/>
      <x:c r="Q328" s="25"/>
      <x:c r="R328" s="25"/>
      <x:c r="S328" s="25"/>
      <x:c r="T328" s="25"/>
      <x:c r="U328" s="25"/>
      <x:c r="V328" s="25"/>
      <x:c r="W328" s="25"/>
      <x:c r="X328" s="25"/>
      <x:c r="Y328" s="25"/>
      <x:c r="Z328" s="25"/>
    </x:row>
    <x:row r="329">
      <x:c r="A329" s="25"/>
      <x:c r="B329" s="25"/>
      <x:c r="C329" s="25"/>
      <x:c r="D329" s="25"/>
      <x:c r="E329" s="25"/>
      <x:c r="F329" s="25"/>
      <x:c r="G329" s="25"/>
      <x:c r="H329" s="25"/>
      <x:c r="I329" s="25"/>
      <x:c r="J329" s="25"/>
      <x:c r="K329" s="25"/>
      <x:c r="L329" s="25"/>
      <x:c r="M329" s="25"/>
      <x:c r="N329" s="25"/>
      <x:c r="O329" s="25"/>
      <x:c r="P329" s="25"/>
      <x:c r="Q329" s="25"/>
      <x:c r="R329" s="25"/>
      <x:c r="S329" s="25"/>
      <x:c r="T329" s="25"/>
      <x:c r="U329" s="25"/>
      <x:c r="V329" s="25"/>
      <x:c r="W329" s="25"/>
      <x:c r="X329" s="25"/>
      <x:c r="Y329" s="25"/>
      <x:c r="Z329" s="25"/>
    </x:row>
    <x:row r="330">
      <x:c r="A330" s="25"/>
      <x:c r="B330" s="25"/>
      <x:c r="C330" s="25"/>
      <x:c r="D330" s="25"/>
      <x:c r="E330" s="25"/>
      <x:c r="F330" s="25"/>
      <x:c r="G330" s="25"/>
      <x:c r="H330" s="25"/>
      <x:c r="I330" s="25"/>
      <x:c r="J330" s="25"/>
      <x:c r="K330" s="25"/>
      <x:c r="L330" s="25"/>
      <x:c r="M330" s="25"/>
      <x:c r="N330" s="25"/>
      <x:c r="O330" s="25"/>
      <x:c r="P330" s="25"/>
      <x:c r="Q330" s="25"/>
      <x:c r="R330" s="25"/>
      <x:c r="S330" s="25"/>
      <x:c r="T330" s="25"/>
      <x:c r="U330" s="25"/>
      <x:c r="V330" s="25"/>
      <x:c r="W330" s="25"/>
      <x:c r="X330" s="25"/>
      <x:c r="Y330" s="25"/>
      <x:c r="Z330" s="25"/>
    </x:row>
    <x:row r="331">
      <x:c r="A331" s="25"/>
      <x:c r="B331" s="25"/>
      <x:c r="C331" s="25"/>
      <x:c r="D331" s="25"/>
      <x:c r="E331" s="25"/>
      <x:c r="F331" s="25"/>
      <x:c r="G331" s="25"/>
      <x:c r="H331" s="25"/>
      <x:c r="I331" s="25"/>
      <x:c r="J331" s="25"/>
      <x:c r="K331" s="25"/>
      <x:c r="L331" s="25"/>
      <x:c r="M331" s="25"/>
      <x:c r="N331" s="25"/>
      <x:c r="O331" s="25"/>
      <x:c r="P331" s="25"/>
      <x:c r="Q331" s="25"/>
      <x:c r="R331" s="25"/>
      <x:c r="S331" s="25"/>
      <x:c r="T331" s="25"/>
      <x:c r="U331" s="25"/>
      <x:c r="V331" s="25"/>
      <x:c r="W331" s="25"/>
      <x:c r="X331" s="25"/>
      <x:c r="Y331" s="25"/>
      <x:c r="Z331" s="25"/>
    </x:row>
    <x:row r="332">
      <x:c r="A332" s="25"/>
      <x:c r="B332" s="25"/>
      <x:c r="C332" s="25"/>
      <x:c r="D332" s="25"/>
      <x:c r="E332" s="25"/>
      <x:c r="F332" s="25"/>
      <x:c r="G332" s="25"/>
      <x:c r="H332" s="25"/>
      <x:c r="I332" s="25"/>
      <x:c r="J332" s="25"/>
      <x:c r="K332" s="25"/>
      <x:c r="L332" s="25"/>
      <x:c r="M332" s="25"/>
      <x:c r="N332" s="25"/>
      <x:c r="O332" s="25"/>
      <x:c r="P332" s="25"/>
      <x:c r="Q332" s="25"/>
      <x:c r="R332" s="25"/>
      <x:c r="S332" s="25"/>
      <x:c r="T332" s="25"/>
      <x:c r="U332" s="25"/>
      <x:c r="V332" s="25"/>
      <x:c r="W332" s="25"/>
      <x:c r="X332" s="25"/>
      <x:c r="Y332" s="25"/>
      <x:c r="Z332" s="25"/>
    </x:row>
    <x:row r="333">
      <x:c r="A333" s="25"/>
      <x:c r="B333" s="25"/>
      <x:c r="C333" s="25"/>
      <x:c r="D333" s="25"/>
      <x:c r="E333" s="25"/>
      <x:c r="F333" s="25"/>
      <x:c r="G333" s="25"/>
      <x:c r="H333" s="25"/>
      <x:c r="I333" s="25"/>
      <x:c r="J333" s="25"/>
      <x:c r="K333" s="25"/>
      <x:c r="L333" s="25"/>
      <x:c r="M333" s="25"/>
      <x:c r="N333" s="25"/>
      <x:c r="O333" s="25"/>
      <x:c r="P333" s="25"/>
      <x:c r="Q333" s="25"/>
      <x:c r="R333" s="25"/>
      <x:c r="S333" s="25"/>
      <x:c r="T333" s="25"/>
      <x:c r="U333" s="25"/>
      <x:c r="V333" s="25"/>
      <x:c r="W333" s="25"/>
      <x:c r="X333" s="25"/>
      <x:c r="Y333" s="25"/>
      <x:c r="Z333" s="25"/>
    </x:row>
    <x:row r="334">
      <x:c r="A334" s="25"/>
      <x:c r="B334" s="25"/>
      <x:c r="C334" s="25"/>
      <x:c r="D334" s="25"/>
      <x:c r="E334" s="25"/>
      <x:c r="F334" s="25"/>
      <x:c r="G334" s="25"/>
      <x:c r="H334" s="25"/>
      <x:c r="I334" s="25"/>
      <x:c r="J334" s="25"/>
      <x:c r="K334" s="25"/>
      <x:c r="L334" s="25"/>
      <x:c r="M334" s="25"/>
      <x:c r="N334" s="25"/>
      <x:c r="O334" s="25"/>
      <x:c r="P334" s="25"/>
      <x:c r="Q334" s="25"/>
      <x:c r="R334" s="25"/>
      <x:c r="S334" s="25"/>
      <x:c r="T334" s="25"/>
      <x:c r="U334" s="25"/>
      <x:c r="V334" s="25"/>
      <x:c r="W334" s="25"/>
      <x:c r="X334" s="25"/>
      <x:c r="Y334" s="25"/>
      <x:c r="Z334" s="25"/>
    </x:row>
    <x:row r="335">
      <x:c r="A335" s="25"/>
      <x:c r="B335" s="25"/>
      <x:c r="C335" s="25"/>
      <x:c r="D335" s="25"/>
      <x:c r="E335" s="25"/>
      <x:c r="F335" s="25"/>
      <x:c r="G335" s="25"/>
      <x:c r="H335" s="25"/>
      <x:c r="I335" s="25"/>
      <x:c r="J335" s="25"/>
      <x:c r="K335" s="25"/>
      <x:c r="L335" s="25"/>
      <x:c r="M335" s="25"/>
      <x:c r="N335" s="25"/>
      <x:c r="O335" s="25"/>
      <x:c r="P335" s="25"/>
      <x:c r="Q335" s="25"/>
      <x:c r="R335" s="25"/>
      <x:c r="S335" s="25"/>
      <x:c r="T335" s="25"/>
      <x:c r="U335" s="25"/>
      <x:c r="V335" s="25"/>
      <x:c r="W335" s="25"/>
      <x:c r="X335" s="25"/>
      <x:c r="Y335" s="25"/>
      <x:c r="Z335" s="25"/>
    </x:row>
    <x:row r="336">
      <x:c r="A336" s="25"/>
      <x:c r="B336" s="25"/>
      <x:c r="C336" s="25"/>
      <x:c r="D336" s="25"/>
      <x:c r="E336" s="25"/>
      <x:c r="F336" s="25"/>
      <x:c r="G336" s="25"/>
      <x:c r="H336" s="25"/>
      <x:c r="I336" s="25"/>
      <x:c r="J336" s="25"/>
      <x:c r="K336" s="25"/>
      <x:c r="L336" s="25"/>
      <x:c r="M336" s="25"/>
      <x:c r="N336" s="25"/>
      <x:c r="O336" s="25"/>
      <x:c r="P336" s="25"/>
      <x:c r="Q336" s="25"/>
      <x:c r="R336" s="25"/>
      <x:c r="S336" s="25"/>
      <x:c r="T336" s="25"/>
      <x:c r="U336" s="25"/>
      <x:c r="V336" s="25"/>
      <x:c r="W336" s="25"/>
      <x:c r="X336" s="25"/>
      <x:c r="Y336" s="25"/>
      <x:c r="Z336" s="25"/>
    </x:row>
    <x:row r="337">
      <x:c r="A337" s="25"/>
      <x:c r="B337" s="25"/>
      <x:c r="C337" s="25"/>
      <x:c r="D337" s="25"/>
      <x:c r="E337" s="25"/>
      <x:c r="F337" s="25"/>
      <x:c r="G337" s="25"/>
      <x:c r="H337" s="25"/>
      <x:c r="I337" s="25"/>
      <x:c r="J337" s="25"/>
      <x:c r="K337" s="25"/>
      <x:c r="L337" s="25"/>
      <x:c r="M337" s="25"/>
      <x:c r="N337" s="25"/>
      <x:c r="O337" s="25"/>
      <x:c r="P337" s="25"/>
      <x:c r="Q337" s="25"/>
      <x:c r="R337" s="25"/>
      <x:c r="S337" s="25"/>
      <x:c r="T337" s="25"/>
      <x:c r="U337" s="25"/>
      <x:c r="V337" s="25"/>
      <x:c r="W337" s="25"/>
      <x:c r="X337" s="25"/>
      <x:c r="Y337" s="25"/>
      <x:c r="Z337" s="25"/>
    </x:row>
    <x:row r="338">
      <x:c r="A338" s="25"/>
      <x:c r="B338" s="25"/>
      <x:c r="C338" s="25"/>
      <x:c r="D338" s="25"/>
      <x:c r="E338" s="25"/>
      <x:c r="F338" s="25"/>
      <x:c r="G338" s="25"/>
      <x:c r="H338" s="25"/>
      <x:c r="I338" s="25"/>
      <x:c r="J338" s="25"/>
      <x:c r="K338" s="25"/>
      <x:c r="L338" s="25"/>
      <x:c r="M338" s="25"/>
      <x:c r="N338" s="25"/>
      <x:c r="O338" s="25"/>
      <x:c r="P338" s="25"/>
      <x:c r="Q338" s="25"/>
      <x:c r="R338" s="25"/>
      <x:c r="S338" s="25"/>
      <x:c r="T338" s="25"/>
      <x:c r="U338" s="25"/>
      <x:c r="V338" s="25"/>
      <x:c r="W338" s="25"/>
      <x:c r="X338" s="25"/>
      <x:c r="Y338" s="25"/>
      <x:c r="Z338" s="25"/>
    </x:row>
    <x:row r="339">
      <x:c r="A339" s="25"/>
      <x:c r="B339" s="25"/>
      <x:c r="C339" s="25"/>
      <x:c r="D339" s="25"/>
      <x:c r="E339" s="25"/>
      <x:c r="F339" s="25"/>
      <x:c r="G339" s="25"/>
      <x:c r="H339" s="25"/>
      <x:c r="I339" s="25"/>
      <x:c r="J339" s="25"/>
      <x:c r="K339" s="25"/>
      <x:c r="L339" s="25"/>
      <x:c r="M339" s="25"/>
      <x:c r="N339" s="25"/>
      <x:c r="O339" s="25"/>
      <x:c r="P339" s="25"/>
      <x:c r="Q339" s="25"/>
      <x:c r="R339" s="25"/>
      <x:c r="S339" s="25"/>
      <x:c r="T339" s="25"/>
      <x:c r="U339" s="25"/>
      <x:c r="V339" s="25"/>
      <x:c r="W339" s="25"/>
      <x:c r="X339" s="25"/>
      <x:c r="Y339" s="25"/>
      <x:c r="Z339" s="25"/>
    </x:row>
    <x:row r="340">
      <x:c r="A340" s="25"/>
      <x:c r="B340" s="25"/>
      <x:c r="C340" s="25"/>
      <x:c r="D340" s="25"/>
      <x:c r="E340" s="25"/>
      <x:c r="F340" s="25"/>
      <x:c r="G340" s="25"/>
      <x:c r="H340" s="25"/>
      <x:c r="I340" s="25"/>
      <x:c r="J340" s="25"/>
      <x:c r="K340" s="25"/>
      <x:c r="L340" s="25"/>
      <x:c r="M340" s="25"/>
      <x:c r="N340" s="25"/>
      <x:c r="O340" s="25"/>
      <x:c r="P340" s="25"/>
      <x:c r="Q340" s="25"/>
      <x:c r="R340" s="25"/>
      <x:c r="S340" s="25"/>
      <x:c r="T340" s="25"/>
      <x:c r="U340" s="25"/>
      <x:c r="V340" s="25"/>
      <x:c r="W340" s="25"/>
      <x:c r="X340" s="25"/>
      <x:c r="Y340" s="25"/>
      <x:c r="Z340" s="25"/>
    </x:row>
    <x:row r="341">
      <x:c r="A341" s="25"/>
      <x:c r="B341" s="25"/>
      <x:c r="C341" s="25"/>
      <x:c r="D341" s="25"/>
      <x:c r="E341" s="25"/>
      <x:c r="F341" s="25"/>
      <x:c r="G341" s="25"/>
      <x:c r="H341" s="25"/>
      <x:c r="I341" s="25"/>
      <x:c r="J341" s="25"/>
      <x:c r="K341" s="25"/>
      <x:c r="L341" s="25"/>
      <x:c r="M341" s="25"/>
      <x:c r="N341" s="25"/>
      <x:c r="O341" s="25"/>
      <x:c r="P341" s="25"/>
      <x:c r="Q341" s="25"/>
      <x:c r="R341" s="25"/>
      <x:c r="S341" s="25"/>
      <x:c r="T341" s="25"/>
      <x:c r="U341" s="25"/>
      <x:c r="V341" s="25"/>
      <x:c r="W341" s="25"/>
      <x:c r="X341" s="25"/>
      <x:c r="Y341" s="25"/>
      <x:c r="Z341" s="25"/>
    </x:row>
    <x:row r="342">
      <x:c r="A342" s="25"/>
      <x:c r="B342" s="25"/>
      <x:c r="C342" s="25"/>
      <x:c r="D342" s="25"/>
      <x:c r="E342" s="25"/>
      <x:c r="F342" s="25"/>
      <x:c r="G342" s="25"/>
      <x:c r="H342" s="25"/>
      <x:c r="I342" s="25"/>
      <x:c r="J342" s="25"/>
      <x:c r="K342" s="25"/>
      <x:c r="L342" s="25"/>
      <x:c r="M342" s="25"/>
      <x:c r="N342" s="25"/>
      <x:c r="O342" s="25"/>
      <x:c r="P342" s="25"/>
      <x:c r="Q342" s="25"/>
      <x:c r="R342" s="25"/>
      <x:c r="S342" s="25"/>
      <x:c r="T342" s="25"/>
      <x:c r="U342" s="25"/>
      <x:c r="V342" s="25"/>
      <x:c r="W342" s="25"/>
      <x:c r="X342" s="25"/>
      <x:c r="Y342" s="25"/>
      <x:c r="Z342" s="25"/>
    </x:row>
    <x:row r="343">
      <x:c r="A343" s="25"/>
      <x:c r="B343" s="25"/>
      <x:c r="C343" s="25"/>
      <x:c r="D343" s="25"/>
      <x:c r="E343" s="25"/>
      <x:c r="F343" s="25"/>
      <x:c r="G343" s="25"/>
      <x:c r="H343" s="25"/>
      <x:c r="I343" s="25"/>
      <x:c r="J343" s="25"/>
      <x:c r="K343" s="25"/>
      <x:c r="L343" s="25"/>
      <x:c r="M343" s="25"/>
      <x:c r="N343" s="25"/>
      <x:c r="O343" s="25"/>
      <x:c r="P343" s="25"/>
      <x:c r="Q343" s="25"/>
      <x:c r="R343" s="25"/>
      <x:c r="S343" s="25"/>
      <x:c r="T343" s="25"/>
      <x:c r="U343" s="25"/>
      <x:c r="V343" s="25"/>
      <x:c r="W343" s="25"/>
      <x:c r="X343" s="25"/>
      <x:c r="Y343" s="25"/>
      <x:c r="Z343" s="25"/>
    </x:row>
    <x:row r="344">
      <x:c r="A344" s="25"/>
      <x:c r="B344" s="25"/>
      <x:c r="C344" s="25"/>
      <x:c r="D344" s="25"/>
      <x:c r="E344" s="25"/>
      <x:c r="F344" s="25"/>
      <x:c r="G344" s="25"/>
      <x:c r="H344" s="25"/>
      <x:c r="I344" s="25"/>
      <x:c r="J344" s="25"/>
      <x:c r="K344" s="25"/>
      <x:c r="L344" s="25"/>
      <x:c r="M344" s="25"/>
      <x:c r="N344" s="25"/>
      <x:c r="O344" s="25"/>
      <x:c r="P344" s="25"/>
      <x:c r="Q344" s="25"/>
      <x:c r="R344" s="25"/>
      <x:c r="S344" s="25"/>
      <x:c r="T344" s="25"/>
      <x:c r="U344" s="25"/>
      <x:c r="V344" s="25"/>
      <x:c r="W344" s="25"/>
      <x:c r="X344" s="25"/>
      <x:c r="Y344" s="25"/>
      <x:c r="Z344" s="25"/>
    </x:row>
    <x:row r="345">
      <x:c r="A345" s="25"/>
      <x:c r="B345" s="25"/>
      <x:c r="C345" s="25"/>
      <x:c r="D345" s="25"/>
      <x:c r="E345" s="25"/>
      <x:c r="F345" s="25"/>
      <x:c r="G345" s="25"/>
      <x:c r="H345" s="25"/>
      <x:c r="I345" s="25"/>
      <x:c r="J345" s="25"/>
      <x:c r="K345" s="25"/>
      <x:c r="L345" s="25"/>
      <x:c r="M345" s="25"/>
      <x:c r="N345" s="25"/>
      <x:c r="O345" s="25"/>
      <x:c r="P345" s="25"/>
      <x:c r="Q345" s="25"/>
      <x:c r="R345" s="25"/>
      <x:c r="S345" s="25"/>
      <x:c r="T345" s="25"/>
      <x:c r="U345" s="25"/>
      <x:c r="V345" s="25"/>
      <x:c r="W345" s="25"/>
      <x:c r="X345" s="25"/>
      <x:c r="Y345" s="25"/>
      <x:c r="Z345" s="25"/>
    </x:row>
    <x:row r="346">
      <x:c r="A346" s="25"/>
      <x:c r="B346" s="25"/>
      <x:c r="C346" s="25"/>
      <x:c r="D346" s="25"/>
      <x:c r="E346" s="25"/>
      <x:c r="F346" s="25"/>
      <x:c r="G346" s="25"/>
      <x:c r="H346" s="25"/>
      <x:c r="I346" s="25"/>
      <x:c r="J346" s="25"/>
      <x:c r="K346" s="25"/>
      <x:c r="L346" s="25"/>
      <x:c r="M346" s="25"/>
      <x:c r="N346" s="25"/>
      <x:c r="O346" s="25"/>
      <x:c r="P346" s="25"/>
      <x:c r="Q346" s="25"/>
      <x:c r="R346" s="25"/>
      <x:c r="S346" s="25"/>
      <x:c r="T346" s="25"/>
      <x:c r="U346" s="25"/>
      <x:c r="V346" s="25"/>
      <x:c r="W346" s="25"/>
      <x:c r="X346" s="25"/>
      <x:c r="Y346" s="25"/>
      <x:c r="Z346" s="25"/>
    </x:row>
    <x:row r="347">
      <x:c r="A347" s="25"/>
      <x:c r="B347" s="25"/>
      <x:c r="C347" s="25"/>
      <x:c r="D347" s="25"/>
      <x:c r="E347" s="25"/>
      <x:c r="F347" s="25"/>
      <x:c r="G347" s="25"/>
      <x:c r="H347" s="25"/>
      <x:c r="I347" s="25"/>
      <x:c r="J347" s="25"/>
      <x:c r="K347" s="25"/>
      <x:c r="L347" s="25"/>
      <x:c r="M347" s="25"/>
      <x:c r="N347" s="25"/>
      <x:c r="O347" s="25"/>
      <x:c r="P347" s="25"/>
      <x:c r="Q347" s="25"/>
      <x:c r="R347" s="25"/>
      <x:c r="S347" s="25"/>
      <x:c r="T347" s="25"/>
      <x:c r="U347" s="25"/>
      <x:c r="V347" s="25"/>
      <x:c r="W347" s="25"/>
      <x:c r="X347" s="25"/>
      <x:c r="Y347" s="25"/>
      <x:c r="Z347" s="25"/>
    </x:row>
    <x:row r="348">
      <x:c r="A348" s="25"/>
      <x:c r="B348" s="25"/>
      <x:c r="C348" s="25"/>
      <x:c r="D348" s="25"/>
      <x:c r="E348" s="25"/>
      <x:c r="F348" s="25"/>
      <x:c r="G348" s="25"/>
      <x:c r="H348" s="25"/>
      <x:c r="I348" s="25"/>
      <x:c r="J348" s="25"/>
      <x:c r="K348" s="25"/>
      <x:c r="L348" s="25"/>
      <x:c r="M348" s="25"/>
      <x:c r="N348" s="25"/>
      <x:c r="O348" s="25"/>
      <x:c r="P348" s="25"/>
      <x:c r="Q348" s="25"/>
      <x:c r="R348" s="25"/>
      <x:c r="S348" s="25"/>
      <x:c r="T348" s="25"/>
      <x:c r="U348" s="25"/>
      <x:c r="V348" s="25"/>
      <x:c r="W348" s="25"/>
      <x:c r="X348" s="25"/>
      <x:c r="Y348" s="25"/>
      <x:c r="Z348" s="25"/>
    </x:row>
    <x:row r="349">
      <x:c r="A349" s="25"/>
      <x:c r="B349" s="25"/>
      <x:c r="C349" s="25"/>
      <x:c r="D349" s="25"/>
      <x:c r="E349" s="25"/>
      <x:c r="F349" s="25"/>
      <x:c r="G349" s="25"/>
      <x:c r="H349" s="25"/>
      <x:c r="I349" s="25"/>
      <x:c r="J349" s="25"/>
      <x:c r="K349" s="25"/>
      <x:c r="L349" s="25"/>
      <x:c r="M349" s="25"/>
      <x:c r="N349" s="25"/>
      <x:c r="O349" s="25"/>
      <x:c r="P349" s="25"/>
      <x:c r="Q349" s="25"/>
      <x:c r="R349" s="25"/>
      <x:c r="S349" s="25"/>
      <x:c r="T349" s="25"/>
      <x:c r="U349" s="25"/>
      <x:c r="V349" s="25"/>
      <x:c r="W349" s="25"/>
      <x:c r="X349" s="25"/>
      <x:c r="Y349" s="25"/>
      <x:c r="Z349" s="25"/>
    </x:row>
    <x:row r="350">
      <x:c r="A350" s="25"/>
      <x:c r="B350" s="25"/>
      <x:c r="C350" s="25"/>
      <x:c r="D350" s="25"/>
      <x:c r="E350" s="25"/>
      <x:c r="F350" s="25"/>
      <x:c r="G350" s="25"/>
      <x:c r="H350" s="25"/>
      <x:c r="I350" s="25"/>
      <x:c r="J350" s="25"/>
      <x:c r="K350" s="25"/>
      <x:c r="L350" s="25"/>
      <x:c r="M350" s="25"/>
      <x:c r="N350" s="25"/>
      <x:c r="O350" s="25"/>
      <x:c r="P350" s="25"/>
      <x:c r="Q350" s="25"/>
      <x:c r="R350" s="25"/>
      <x:c r="S350" s="25"/>
      <x:c r="T350" s="25"/>
      <x:c r="U350" s="25"/>
      <x:c r="V350" s="25"/>
      <x:c r="W350" s="25"/>
      <x:c r="X350" s="25"/>
      <x:c r="Y350" s="25"/>
      <x:c r="Z350" s="25"/>
    </x:row>
    <x:row r="351">
      <x:c r="A351" s="25"/>
      <x:c r="B351" s="25"/>
      <x:c r="C351" s="25"/>
      <x:c r="D351" s="25"/>
      <x:c r="E351" s="25"/>
      <x:c r="F351" s="25"/>
      <x:c r="G351" s="25"/>
      <x:c r="H351" s="25"/>
      <x:c r="I351" s="25"/>
      <x:c r="J351" s="25"/>
      <x:c r="K351" s="25"/>
      <x:c r="L351" s="25"/>
      <x:c r="M351" s="25"/>
      <x:c r="N351" s="25"/>
      <x:c r="O351" s="25"/>
      <x:c r="P351" s="25"/>
      <x:c r="Q351" s="25"/>
      <x:c r="R351" s="25"/>
      <x:c r="S351" s="25"/>
      <x:c r="T351" s="25"/>
      <x:c r="U351" s="25"/>
      <x:c r="V351" s="25"/>
      <x:c r="W351" s="25"/>
      <x:c r="X351" s="25"/>
      <x:c r="Y351" s="25"/>
      <x:c r="Z351" s="25"/>
    </x:row>
    <x:row r="352">
      <x:c r="A352" s="25"/>
      <x:c r="B352" s="25"/>
      <x:c r="C352" s="25"/>
      <x:c r="D352" s="25"/>
      <x:c r="E352" s="25"/>
      <x:c r="F352" s="25"/>
      <x:c r="G352" s="25"/>
      <x:c r="H352" s="25"/>
      <x:c r="I352" s="25"/>
      <x:c r="J352" s="25"/>
      <x:c r="K352" s="25"/>
      <x:c r="L352" s="25"/>
      <x:c r="M352" s="25"/>
      <x:c r="N352" s="25"/>
      <x:c r="O352" s="25"/>
      <x:c r="P352" s="25"/>
      <x:c r="Q352" s="25"/>
      <x:c r="R352" s="25"/>
      <x:c r="S352" s="25"/>
      <x:c r="T352" s="25"/>
      <x:c r="U352" s="25"/>
      <x:c r="V352" s="25"/>
      <x:c r="W352" s="25"/>
      <x:c r="X352" s="25"/>
      <x:c r="Y352" s="25"/>
      <x:c r="Z352" s="25"/>
    </x:row>
    <x:row r="353">
      <x:c r="A353" s="25"/>
      <x:c r="B353" s="25"/>
      <x:c r="C353" s="25"/>
      <x:c r="D353" s="25"/>
      <x:c r="E353" s="25"/>
      <x:c r="F353" s="25"/>
      <x:c r="G353" s="25"/>
      <x:c r="H353" s="25"/>
      <x:c r="I353" s="25"/>
      <x:c r="J353" s="25"/>
      <x:c r="K353" s="25"/>
      <x:c r="L353" s="25"/>
      <x:c r="M353" s="25"/>
      <x:c r="N353" s="25"/>
      <x:c r="O353" s="25"/>
      <x:c r="P353" s="25"/>
      <x:c r="Q353" s="25"/>
      <x:c r="R353" s="25"/>
      <x:c r="S353" s="25"/>
      <x:c r="T353" s="25"/>
      <x:c r="U353" s="25"/>
      <x:c r="V353" s="25"/>
      <x:c r="W353" s="25"/>
      <x:c r="X353" s="25"/>
      <x:c r="Y353" s="25"/>
      <x:c r="Z353" s="25"/>
    </x:row>
    <x:row r="354">
      <x:c r="A354" s="25"/>
      <x:c r="B354" s="25"/>
      <x:c r="C354" s="25"/>
      <x:c r="D354" s="25"/>
      <x:c r="E354" s="25"/>
      <x:c r="F354" s="25"/>
      <x:c r="G354" s="25"/>
      <x:c r="H354" s="25"/>
      <x:c r="I354" s="25"/>
      <x:c r="J354" s="25"/>
      <x:c r="K354" s="25"/>
      <x:c r="L354" s="25"/>
      <x:c r="M354" s="25"/>
      <x:c r="N354" s="25"/>
      <x:c r="O354" s="25"/>
      <x:c r="P354" s="25"/>
      <x:c r="Q354" s="25"/>
      <x:c r="R354" s="25"/>
      <x:c r="S354" s="25"/>
      <x:c r="T354" s="25"/>
      <x:c r="U354" s="25"/>
      <x:c r="V354" s="25"/>
      <x:c r="W354" s="25"/>
      <x:c r="X354" s="25"/>
      <x:c r="Y354" s="25"/>
      <x:c r="Z354" s="25"/>
    </x:row>
    <x:row r="355">
      <x:c r="A355" s="25"/>
      <x:c r="B355" s="25"/>
      <x:c r="C355" s="25"/>
      <x:c r="D355" s="25"/>
      <x:c r="E355" s="25"/>
      <x:c r="F355" s="25"/>
      <x:c r="G355" s="25"/>
      <x:c r="H355" s="25"/>
      <x:c r="I355" s="25"/>
      <x:c r="J355" s="25"/>
      <x:c r="K355" s="25"/>
      <x:c r="L355" s="25"/>
      <x:c r="M355" s="25"/>
      <x:c r="N355" s="25"/>
      <x:c r="O355" s="25"/>
      <x:c r="P355" s="25"/>
      <x:c r="Q355" s="25"/>
      <x:c r="R355" s="25"/>
      <x:c r="S355" s="25"/>
      <x:c r="T355" s="25"/>
      <x:c r="U355" s="25"/>
      <x:c r="V355" s="25"/>
      <x:c r="W355" s="25"/>
      <x:c r="X355" s="25"/>
      <x:c r="Y355" s="25"/>
      <x:c r="Z355" s="25"/>
    </x:row>
    <x:row r="356">
      <x:c r="A356" s="25"/>
      <x:c r="B356" s="25"/>
      <x:c r="C356" s="25"/>
      <x:c r="D356" s="25"/>
      <x:c r="E356" s="25"/>
      <x:c r="F356" s="25"/>
      <x:c r="G356" s="25"/>
      <x:c r="H356" s="25"/>
      <x:c r="I356" s="25"/>
      <x:c r="J356" s="25"/>
      <x:c r="K356" s="25"/>
      <x:c r="L356" s="25"/>
      <x:c r="M356" s="25"/>
      <x:c r="N356" s="25"/>
      <x:c r="O356" s="25"/>
      <x:c r="P356" s="25"/>
      <x:c r="Q356" s="25"/>
      <x:c r="R356" s="25"/>
      <x:c r="S356" s="25"/>
      <x:c r="T356" s="25"/>
      <x:c r="U356" s="25"/>
      <x:c r="V356" s="25"/>
      <x:c r="W356" s="25"/>
      <x:c r="X356" s="25"/>
      <x:c r="Y356" s="25"/>
      <x:c r="Z356" s="25"/>
    </x:row>
    <x:row r="357">
      <x:c r="A357" s="25"/>
      <x:c r="B357" s="25"/>
      <x:c r="C357" s="25"/>
      <x:c r="D357" s="25"/>
      <x:c r="E357" s="25"/>
      <x:c r="F357" s="25"/>
      <x:c r="G357" s="25"/>
      <x:c r="H357" s="25"/>
      <x:c r="I357" s="25"/>
      <x:c r="J357" s="25"/>
      <x:c r="K357" s="25"/>
      <x:c r="L357" s="25"/>
      <x:c r="M357" s="25"/>
      <x:c r="N357" s="25"/>
      <x:c r="O357" s="25"/>
      <x:c r="P357" s="25"/>
      <x:c r="Q357" s="25"/>
      <x:c r="R357" s="25"/>
      <x:c r="S357" s="25"/>
      <x:c r="T357" s="25"/>
      <x:c r="U357" s="25"/>
      <x:c r="V357" s="25"/>
      <x:c r="W357" s="25"/>
      <x:c r="X357" s="25"/>
      <x:c r="Y357" s="25"/>
      <x:c r="Z357" s="25"/>
    </x:row>
    <x:row r="358">
      <x:c r="A358" s="25"/>
      <x:c r="B358" s="25"/>
      <x:c r="C358" s="25"/>
      <x:c r="D358" s="25"/>
      <x:c r="E358" s="25"/>
      <x:c r="F358" s="25"/>
      <x:c r="G358" s="25"/>
      <x:c r="H358" s="25"/>
      <x:c r="I358" s="25"/>
      <x:c r="J358" s="25"/>
      <x:c r="K358" s="25"/>
      <x:c r="L358" s="25"/>
      <x:c r="M358" s="25"/>
      <x:c r="N358" s="25"/>
      <x:c r="O358" s="25"/>
      <x:c r="P358" s="25"/>
      <x:c r="Q358" s="25"/>
      <x:c r="R358" s="25"/>
      <x:c r="S358" s="25"/>
      <x:c r="T358" s="25"/>
      <x:c r="U358" s="25"/>
      <x:c r="V358" s="25"/>
      <x:c r="W358" s="25"/>
      <x:c r="X358" s="25"/>
      <x:c r="Y358" s="25"/>
      <x:c r="Z358" s="25"/>
    </x:row>
    <x:row r="359">
      <x:c r="A359" s="25"/>
      <x:c r="B359" s="25"/>
      <x:c r="C359" s="25"/>
      <x:c r="D359" s="25"/>
      <x:c r="E359" s="25"/>
      <x:c r="F359" s="25"/>
      <x:c r="G359" s="25"/>
      <x:c r="H359" s="25"/>
      <x:c r="I359" s="25"/>
      <x:c r="J359" s="25"/>
      <x:c r="K359" s="25"/>
      <x:c r="L359" s="25"/>
      <x:c r="M359" s="25"/>
      <x:c r="N359" s="25"/>
      <x:c r="O359" s="25"/>
      <x:c r="P359" s="25"/>
      <x:c r="Q359" s="25"/>
      <x:c r="R359" s="25"/>
      <x:c r="S359" s="25"/>
      <x:c r="T359" s="25"/>
      <x:c r="U359" s="25"/>
      <x:c r="V359" s="25"/>
      <x:c r="W359" s="25"/>
      <x:c r="X359" s="25"/>
      <x:c r="Y359" s="25"/>
      <x:c r="Z359" s="25"/>
    </x:row>
    <x:row r="360">
      <x:c r="A360" s="25"/>
      <x:c r="B360" s="25"/>
      <x:c r="C360" s="25"/>
      <x:c r="D360" s="25"/>
      <x:c r="E360" s="25"/>
      <x:c r="F360" s="25"/>
      <x:c r="G360" s="25"/>
      <x:c r="H360" s="25"/>
      <x:c r="I360" s="25"/>
      <x:c r="J360" s="25"/>
      <x:c r="K360" s="25"/>
      <x:c r="L360" s="25"/>
      <x:c r="M360" s="25"/>
      <x:c r="N360" s="25"/>
      <x:c r="O360" s="25"/>
      <x:c r="P360" s="25"/>
      <x:c r="Q360" s="25"/>
      <x:c r="R360" s="25"/>
      <x:c r="S360" s="25"/>
      <x:c r="T360" s="25"/>
      <x:c r="U360" s="25"/>
      <x:c r="V360" s="25"/>
      <x:c r="W360" s="25"/>
      <x:c r="X360" s="25"/>
      <x:c r="Y360" s="25"/>
      <x:c r="Z360" s="25"/>
    </x:row>
    <x:row r="361">
      <x:c r="A361" s="25"/>
      <x:c r="B361" s="25"/>
      <x:c r="C361" s="25"/>
      <x:c r="D361" s="25"/>
      <x:c r="E361" s="25"/>
      <x:c r="F361" s="25"/>
      <x:c r="G361" s="25"/>
      <x:c r="H361" s="25"/>
      <x:c r="I361" s="25"/>
      <x:c r="J361" s="25"/>
      <x:c r="K361" s="25"/>
      <x:c r="L361" s="25"/>
      <x:c r="M361" s="25"/>
      <x:c r="N361" s="25"/>
      <x:c r="O361" s="25"/>
      <x:c r="P361" s="25"/>
      <x:c r="Q361" s="25"/>
      <x:c r="R361" s="25"/>
      <x:c r="S361" s="25"/>
      <x:c r="T361" s="25"/>
      <x:c r="U361" s="25"/>
      <x:c r="V361" s="25"/>
      <x:c r="W361" s="25"/>
      <x:c r="X361" s="25"/>
      <x:c r="Y361" s="25"/>
      <x:c r="Z361" s="25"/>
    </x:row>
    <x:row r="362">
      <x:c r="A362" s="25"/>
      <x:c r="B362" s="25"/>
      <x:c r="C362" s="25"/>
      <x:c r="D362" s="25"/>
      <x:c r="E362" s="25"/>
      <x:c r="F362" s="25"/>
      <x:c r="G362" s="25"/>
      <x:c r="H362" s="25"/>
      <x:c r="I362" s="25"/>
      <x:c r="J362" s="25"/>
      <x:c r="K362" s="25"/>
      <x:c r="L362" s="25"/>
      <x:c r="M362" s="25"/>
      <x:c r="N362" s="25"/>
      <x:c r="O362" s="25"/>
      <x:c r="P362" s="25"/>
      <x:c r="Q362" s="25"/>
      <x:c r="R362" s="25"/>
      <x:c r="S362" s="25"/>
      <x:c r="T362" s="25"/>
      <x:c r="U362" s="25"/>
      <x:c r="V362" s="25"/>
      <x:c r="W362" s="25"/>
      <x:c r="X362" s="25"/>
      <x:c r="Y362" s="25"/>
      <x:c r="Z362" s="25"/>
    </x:row>
    <x:row r="363">
      <x:c r="A363" s="25"/>
      <x:c r="B363" s="25"/>
      <x:c r="C363" s="25"/>
      <x:c r="D363" s="25"/>
      <x:c r="E363" s="25"/>
      <x:c r="F363" s="25"/>
      <x:c r="G363" s="25"/>
      <x:c r="H363" s="25"/>
      <x:c r="I363" s="25"/>
      <x:c r="J363" s="25"/>
      <x:c r="K363" s="25"/>
      <x:c r="L363" s="25"/>
      <x:c r="M363" s="25"/>
      <x:c r="N363" s="25"/>
      <x:c r="O363" s="25"/>
      <x:c r="P363" s="25"/>
      <x:c r="Q363" s="25"/>
      <x:c r="R363" s="25"/>
      <x:c r="S363" s="25"/>
      <x:c r="T363" s="25"/>
      <x:c r="U363" s="25"/>
      <x:c r="V363" s="25"/>
      <x:c r="W363" s="25"/>
      <x:c r="X363" s="25"/>
      <x:c r="Y363" s="25"/>
      <x:c r="Z363" s="25"/>
    </x:row>
    <x:row r="364">
      <x:c r="A364" s="25"/>
      <x:c r="B364" s="25"/>
      <x:c r="C364" s="25"/>
      <x:c r="D364" s="25"/>
      <x:c r="E364" s="25"/>
      <x:c r="F364" s="25"/>
      <x:c r="G364" s="25"/>
      <x:c r="H364" s="25"/>
      <x:c r="I364" s="25"/>
      <x:c r="J364" s="25"/>
      <x:c r="K364" s="25"/>
      <x:c r="L364" s="25"/>
      <x:c r="M364" s="25"/>
      <x:c r="N364" s="25"/>
      <x:c r="O364" s="25"/>
      <x:c r="P364" s="25"/>
      <x:c r="Q364" s="25"/>
      <x:c r="R364" s="25"/>
      <x:c r="S364" s="25"/>
      <x:c r="T364" s="25"/>
      <x:c r="U364" s="25"/>
      <x:c r="V364" s="25"/>
      <x:c r="W364" s="25"/>
      <x:c r="X364" s="25"/>
      <x:c r="Y364" s="25"/>
      <x:c r="Z364" s="25"/>
    </x:row>
    <x:row r="365">
      <x:c r="A365" s="25"/>
      <x:c r="B365" s="25"/>
      <x:c r="C365" s="25"/>
      <x:c r="D365" s="25"/>
      <x:c r="E365" s="25"/>
      <x:c r="F365" s="25"/>
      <x:c r="G365" s="25"/>
      <x:c r="H365" s="25"/>
      <x:c r="I365" s="25"/>
      <x:c r="J365" s="25"/>
      <x:c r="K365" s="25"/>
      <x:c r="L365" s="25"/>
      <x:c r="M365" s="25"/>
      <x:c r="N365" s="25"/>
      <x:c r="O365" s="25"/>
      <x:c r="P365" s="25"/>
      <x:c r="Q365" s="25"/>
      <x:c r="R365" s="25"/>
      <x:c r="S365" s="25"/>
      <x:c r="T365" s="25"/>
      <x:c r="U365" s="25"/>
      <x:c r="V365" s="25"/>
      <x:c r="W365" s="25"/>
      <x:c r="X365" s="25"/>
      <x:c r="Y365" s="25"/>
      <x:c r="Z365" s="25"/>
    </x:row>
    <x:row r="366">
      <x:c r="A366" s="25"/>
      <x:c r="B366" s="25"/>
      <x:c r="C366" s="25"/>
      <x:c r="D366" s="25"/>
      <x:c r="E366" s="25"/>
      <x:c r="F366" s="25"/>
      <x:c r="G366" s="25"/>
      <x:c r="H366" s="25"/>
      <x:c r="I366" s="25"/>
      <x:c r="J366" s="25"/>
      <x:c r="K366" s="25"/>
      <x:c r="L366" s="25"/>
      <x:c r="M366" s="25"/>
      <x:c r="N366" s="25"/>
      <x:c r="O366" s="25"/>
      <x:c r="P366" s="25"/>
      <x:c r="Q366" s="25"/>
      <x:c r="R366" s="25"/>
      <x:c r="S366" s="25"/>
      <x:c r="T366" s="25"/>
      <x:c r="U366" s="25"/>
      <x:c r="V366" s="25"/>
      <x:c r="W366" s="25"/>
      <x:c r="X366" s="25"/>
      <x:c r="Y366" s="25"/>
      <x:c r="Z366" s="25"/>
    </x:row>
    <x:row r="367">
      <x:c r="A367" s="25"/>
      <x:c r="B367" s="25"/>
      <x:c r="C367" s="25"/>
      <x:c r="D367" s="25"/>
      <x:c r="E367" s="25"/>
      <x:c r="F367" s="25"/>
      <x:c r="G367" s="25"/>
      <x:c r="H367" s="25"/>
      <x:c r="I367" s="25"/>
      <x:c r="J367" s="25"/>
      <x:c r="K367" s="25"/>
      <x:c r="L367" s="25"/>
      <x:c r="M367" s="25"/>
      <x:c r="N367" s="25"/>
      <x:c r="O367" s="25"/>
      <x:c r="P367" s="25"/>
      <x:c r="Q367" s="25"/>
      <x:c r="R367" s="25"/>
      <x:c r="S367" s="25"/>
      <x:c r="T367" s="25"/>
      <x:c r="U367" s="25"/>
      <x:c r="V367" s="25"/>
      <x:c r="W367" s="25"/>
      <x:c r="X367" s="25"/>
      <x:c r="Y367" s="25"/>
      <x:c r="Z367" s="25"/>
    </x:row>
    <x:row r="368">
      <x:c r="A368" s="25"/>
      <x:c r="B368" s="25"/>
      <x:c r="C368" s="25"/>
      <x:c r="D368" s="25"/>
      <x:c r="E368" s="25"/>
      <x:c r="F368" s="25"/>
      <x:c r="G368" s="25"/>
      <x:c r="H368" s="25"/>
      <x:c r="I368" s="25"/>
      <x:c r="J368" s="25"/>
      <x:c r="K368" s="25"/>
      <x:c r="L368" s="25"/>
      <x:c r="M368" s="25"/>
      <x:c r="N368" s="25"/>
      <x:c r="O368" s="25"/>
      <x:c r="P368" s="25"/>
      <x:c r="Q368" s="25"/>
      <x:c r="R368" s="25"/>
      <x:c r="S368" s="25"/>
      <x:c r="T368" s="25"/>
      <x:c r="U368" s="25"/>
      <x:c r="V368" s="25"/>
      <x:c r="W368" s="25"/>
      <x:c r="X368" s="25"/>
      <x:c r="Y368" s="25"/>
      <x:c r="Z368" s="25"/>
    </x:row>
    <x:row r="369">
      <x:c r="A369" s="25"/>
      <x:c r="B369" s="25"/>
      <x:c r="C369" s="25"/>
      <x:c r="D369" s="25"/>
      <x:c r="E369" s="25"/>
      <x:c r="F369" s="25"/>
      <x:c r="G369" s="25"/>
      <x:c r="H369" s="25"/>
      <x:c r="I369" s="25"/>
      <x:c r="J369" s="25"/>
      <x:c r="K369" s="25"/>
      <x:c r="L369" s="25"/>
      <x:c r="M369" s="25"/>
      <x:c r="N369" s="25"/>
      <x:c r="O369" s="25"/>
      <x:c r="P369" s="25"/>
      <x:c r="Q369" s="25"/>
      <x:c r="R369" s="25"/>
      <x:c r="S369" s="25"/>
      <x:c r="T369" s="25"/>
      <x:c r="U369" s="25"/>
      <x:c r="V369" s="25"/>
      <x:c r="W369" s="25"/>
      <x:c r="X369" s="25"/>
      <x:c r="Y369" s="25"/>
      <x:c r="Z369" s="25"/>
    </x:row>
    <x:row r="370">
      <x:c r="A370" s="25"/>
      <x:c r="B370" s="25"/>
      <x:c r="C370" s="25"/>
      <x:c r="D370" s="25"/>
      <x:c r="E370" s="25"/>
      <x:c r="F370" s="25"/>
      <x:c r="G370" s="25"/>
      <x:c r="H370" s="25"/>
      <x:c r="I370" s="25"/>
      <x:c r="J370" s="25"/>
      <x:c r="K370" s="25"/>
      <x:c r="L370" s="25"/>
      <x:c r="M370" s="25"/>
      <x:c r="N370" s="25"/>
      <x:c r="O370" s="25"/>
      <x:c r="P370" s="25"/>
      <x:c r="Q370" s="25"/>
      <x:c r="R370" s="25"/>
      <x:c r="S370" s="25"/>
      <x:c r="T370" s="25"/>
      <x:c r="U370" s="25"/>
      <x:c r="V370" s="25"/>
      <x:c r="W370" s="25"/>
      <x:c r="X370" s="25"/>
      <x:c r="Y370" s="25"/>
      <x:c r="Z370" s="25"/>
    </x:row>
    <x:row r="371">
      <x:c r="A371" s="25"/>
      <x:c r="B371" s="25"/>
      <x:c r="C371" s="25"/>
      <x:c r="D371" s="25"/>
      <x:c r="E371" s="25"/>
      <x:c r="F371" s="25"/>
      <x:c r="G371" s="25"/>
      <x:c r="H371" s="25"/>
      <x:c r="I371" s="25"/>
      <x:c r="J371" s="25"/>
      <x:c r="K371" s="25"/>
      <x:c r="L371" s="25"/>
      <x:c r="M371" s="25"/>
      <x:c r="N371" s="25"/>
      <x:c r="O371" s="25"/>
      <x:c r="P371" s="25"/>
      <x:c r="Q371" s="25"/>
      <x:c r="R371" s="25"/>
      <x:c r="S371" s="25"/>
      <x:c r="T371" s="25"/>
      <x:c r="U371" s="25"/>
      <x:c r="V371" s="25"/>
      <x:c r="W371" s="25"/>
      <x:c r="X371" s="25"/>
      <x:c r="Y371" s="25"/>
      <x:c r="Z371" s="25"/>
    </x:row>
    <x:row r="372">
      <x:c r="A372" s="25"/>
      <x:c r="B372" s="25"/>
      <x:c r="C372" s="25"/>
      <x:c r="D372" s="25"/>
      <x:c r="E372" s="25"/>
      <x:c r="F372" s="25"/>
      <x:c r="G372" s="25"/>
      <x:c r="H372" s="25"/>
      <x:c r="I372" s="25"/>
      <x:c r="J372" s="25"/>
      <x:c r="K372" s="25"/>
      <x:c r="L372" s="25"/>
      <x:c r="M372" s="25"/>
      <x:c r="N372" s="25"/>
      <x:c r="O372" s="25"/>
      <x:c r="P372" s="25"/>
      <x:c r="Q372" s="25"/>
      <x:c r="R372" s="25"/>
      <x:c r="S372" s="25"/>
      <x:c r="T372" s="25"/>
      <x:c r="U372" s="25"/>
      <x:c r="V372" s="25"/>
      <x:c r="W372" s="25"/>
      <x:c r="X372" s="25"/>
      <x:c r="Y372" s="25"/>
      <x:c r="Z372" s="25"/>
    </x:row>
    <x:row r="373">
      <x:c r="A373" s="25"/>
      <x:c r="B373" s="25"/>
      <x:c r="C373" s="25"/>
      <x:c r="D373" s="25"/>
      <x:c r="E373" s="25"/>
      <x:c r="F373" s="25"/>
      <x:c r="G373" s="25"/>
      <x:c r="H373" s="25"/>
      <x:c r="I373" s="25"/>
      <x:c r="J373" s="25"/>
      <x:c r="K373" s="25"/>
      <x:c r="L373" s="25"/>
      <x:c r="M373" s="25"/>
      <x:c r="N373" s="25"/>
      <x:c r="O373" s="25"/>
      <x:c r="P373" s="25"/>
      <x:c r="Q373" s="25"/>
      <x:c r="R373" s="25"/>
      <x:c r="S373" s="25"/>
      <x:c r="T373" s="25"/>
      <x:c r="U373" s="25"/>
      <x:c r="V373" s="25"/>
      <x:c r="W373" s="25"/>
      <x:c r="X373" s="25"/>
      <x:c r="Y373" s="25"/>
      <x:c r="Z373" s="25"/>
    </x:row>
    <x:row r="374">
      <x:c r="A374" s="25"/>
      <x:c r="B374" s="25"/>
      <x:c r="C374" s="25"/>
      <x:c r="D374" s="25"/>
      <x:c r="E374" s="25"/>
      <x:c r="F374" s="25"/>
      <x:c r="G374" s="25"/>
      <x:c r="H374" s="25"/>
      <x:c r="I374" s="25"/>
      <x:c r="J374" s="25"/>
      <x:c r="K374" s="25"/>
      <x:c r="L374" s="25"/>
      <x:c r="M374" s="25"/>
      <x:c r="N374" s="25"/>
      <x:c r="O374" s="25"/>
      <x:c r="P374" s="25"/>
      <x:c r="Q374" s="25"/>
      <x:c r="R374" s="25"/>
      <x:c r="S374" s="25"/>
      <x:c r="T374" s="25"/>
      <x:c r="U374" s="25"/>
      <x:c r="V374" s="25"/>
      <x:c r="W374" s="25"/>
      <x:c r="X374" s="25"/>
      <x:c r="Y374" s="25"/>
      <x:c r="Z374" s="25"/>
    </x:row>
    <x:row r="375">
      <x:c r="A375" s="25"/>
      <x:c r="B375" s="25"/>
      <x:c r="C375" s="25"/>
      <x:c r="D375" s="25"/>
      <x:c r="E375" s="25"/>
      <x:c r="F375" s="25"/>
      <x:c r="G375" s="25"/>
      <x:c r="H375" s="25"/>
      <x:c r="I375" s="25"/>
      <x:c r="J375" s="25"/>
      <x:c r="K375" s="25"/>
      <x:c r="L375" s="25"/>
      <x:c r="M375" s="25"/>
      <x:c r="N375" s="25"/>
      <x:c r="O375" s="25"/>
      <x:c r="P375" s="25"/>
      <x:c r="Q375" s="25"/>
      <x:c r="R375" s="25"/>
      <x:c r="S375" s="25"/>
      <x:c r="T375" s="25"/>
      <x:c r="U375" s="25"/>
      <x:c r="V375" s="25"/>
      <x:c r="W375" s="25"/>
      <x:c r="X375" s="25"/>
      <x:c r="Y375" s="25"/>
      <x:c r="Z375" s="25"/>
    </x:row>
    <x:row r="376">
      <x:c r="A376" s="25"/>
      <x:c r="B376" s="25"/>
      <x:c r="C376" s="25"/>
      <x:c r="D376" s="25"/>
      <x:c r="E376" s="25"/>
      <x:c r="F376" s="25"/>
      <x:c r="G376" s="25"/>
      <x:c r="H376" s="25"/>
      <x:c r="I376" s="25"/>
      <x:c r="J376" s="25"/>
      <x:c r="K376" s="25"/>
      <x:c r="L376" s="25"/>
      <x:c r="M376" s="25"/>
      <x:c r="N376" s="25"/>
      <x:c r="O376" s="25"/>
      <x:c r="P376" s="25"/>
      <x:c r="Q376" s="25"/>
      <x:c r="R376" s="25"/>
      <x:c r="S376" s="25"/>
      <x:c r="T376" s="25"/>
      <x:c r="U376" s="25"/>
      <x:c r="V376" s="25"/>
      <x:c r="W376" s="25"/>
      <x:c r="X376" s="25"/>
      <x:c r="Y376" s="25"/>
      <x:c r="Z376" s="25"/>
    </x:row>
    <x:row r="377">
      <x:c r="A377" s="25"/>
      <x:c r="B377" s="25"/>
      <x:c r="C377" s="25"/>
      <x:c r="D377" s="25"/>
      <x:c r="E377" s="25"/>
      <x:c r="F377" s="25"/>
      <x:c r="G377" s="25"/>
      <x:c r="H377" s="25"/>
      <x:c r="I377" s="25"/>
      <x:c r="J377" s="25"/>
      <x:c r="K377" s="25"/>
      <x:c r="L377" s="25"/>
      <x:c r="M377" s="25"/>
      <x:c r="N377" s="25"/>
      <x:c r="O377" s="25"/>
      <x:c r="P377" s="25"/>
      <x:c r="Q377" s="25"/>
      <x:c r="R377" s="25"/>
      <x:c r="S377" s="25"/>
      <x:c r="T377" s="25"/>
      <x:c r="U377" s="25"/>
      <x:c r="V377" s="25"/>
      <x:c r="W377" s="25"/>
      <x:c r="X377" s="25"/>
      <x:c r="Y377" s="25"/>
      <x:c r="Z377" s="25"/>
    </x:row>
    <x:row r="378">
      <x:c r="A378" s="25"/>
      <x:c r="B378" s="25"/>
      <x:c r="C378" s="25"/>
      <x:c r="D378" s="25"/>
      <x:c r="E378" s="25"/>
      <x:c r="F378" s="25"/>
      <x:c r="G378" s="25"/>
      <x:c r="H378" s="25"/>
      <x:c r="I378" s="25"/>
      <x:c r="J378" s="25"/>
      <x:c r="K378" s="25"/>
      <x:c r="L378" s="25"/>
      <x:c r="M378" s="25"/>
      <x:c r="N378" s="25"/>
      <x:c r="O378" s="25"/>
      <x:c r="P378" s="25"/>
      <x:c r="Q378" s="25"/>
      <x:c r="R378" s="25"/>
      <x:c r="S378" s="25"/>
      <x:c r="T378" s="25"/>
      <x:c r="U378" s="25"/>
      <x:c r="V378" s="25"/>
      <x:c r="W378" s="25"/>
      <x:c r="X378" s="25"/>
      <x:c r="Y378" s="25"/>
      <x:c r="Z378" s="25"/>
    </x:row>
    <x:row r="379">
      <x:c r="A379" s="25"/>
      <x:c r="B379" s="25"/>
      <x:c r="C379" s="25"/>
      <x:c r="D379" s="25"/>
      <x:c r="E379" s="25"/>
      <x:c r="F379" s="25"/>
      <x:c r="G379" s="25"/>
      <x:c r="H379" s="25"/>
      <x:c r="I379" s="25"/>
      <x:c r="J379" s="25"/>
      <x:c r="K379" s="25"/>
      <x:c r="L379" s="25"/>
      <x:c r="M379" s="25"/>
      <x:c r="N379" s="25"/>
      <x:c r="O379" s="25"/>
      <x:c r="P379" s="25"/>
      <x:c r="Q379" s="25"/>
      <x:c r="R379" s="25"/>
      <x:c r="S379" s="25"/>
      <x:c r="T379" s="25"/>
      <x:c r="U379" s="25"/>
      <x:c r="V379" s="25"/>
      <x:c r="W379" s="25"/>
      <x:c r="X379" s="25"/>
      <x:c r="Y379" s="25"/>
      <x:c r="Z379" s="25"/>
    </x:row>
    <x:row r="380">
      <x:c r="A380" s="25"/>
      <x:c r="B380" s="25"/>
      <x:c r="C380" s="25"/>
      <x:c r="D380" s="25"/>
      <x:c r="E380" s="25"/>
      <x:c r="F380" s="25"/>
      <x:c r="G380" s="25"/>
      <x:c r="H380" s="25"/>
      <x:c r="I380" s="25"/>
      <x:c r="J380" s="25"/>
      <x:c r="K380" s="25"/>
      <x:c r="L380" s="25"/>
      <x:c r="M380" s="25"/>
      <x:c r="N380" s="25"/>
      <x:c r="O380" s="25"/>
      <x:c r="P380" s="25"/>
      <x:c r="Q380" s="25"/>
      <x:c r="R380" s="25"/>
      <x:c r="S380" s="25"/>
      <x:c r="T380" s="25"/>
      <x:c r="U380" s="25"/>
      <x:c r="V380" s="25"/>
      <x:c r="W380" s="25"/>
      <x:c r="X380" s="25"/>
      <x:c r="Y380" s="25"/>
      <x:c r="Z380" s="25"/>
    </x:row>
    <x:row r="381">
      <x:c r="A381" s="25"/>
      <x:c r="B381" s="25"/>
      <x:c r="C381" s="25"/>
      <x:c r="D381" s="25"/>
      <x:c r="E381" s="25"/>
      <x:c r="F381" s="25"/>
      <x:c r="G381" s="25"/>
      <x:c r="H381" s="25"/>
      <x:c r="I381" s="25"/>
      <x:c r="J381" s="25"/>
      <x:c r="K381" s="25"/>
      <x:c r="L381" s="25"/>
      <x:c r="M381" s="25"/>
      <x:c r="N381" s="25"/>
      <x:c r="O381" s="25"/>
      <x:c r="P381" s="25"/>
      <x:c r="Q381" s="25"/>
      <x:c r="R381" s="25"/>
      <x:c r="S381" s="25"/>
      <x:c r="T381" s="25"/>
      <x:c r="U381" s="25"/>
      <x:c r="V381" s="25"/>
      <x:c r="W381" s="25"/>
      <x:c r="X381" s="25"/>
      <x:c r="Y381" s="25"/>
      <x:c r="Z381" s="25"/>
    </x:row>
    <x:row r="382">
      <x:c r="A382" s="25"/>
      <x:c r="B382" s="25"/>
      <x:c r="C382" s="25"/>
      <x:c r="D382" s="25"/>
      <x:c r="E382" s="25"/>
      <x:c r="F382" s="25"/>
      <x:c r="G382" s="25"/>
      <x:c r="H382" s="25"/>
      <x:c r="I382" s="25"/>
      <x:c r="J382" s="25"/>
      <x:c r="K382" s="25"/>
      <x:c r="L382" s="25"/>
      <x:c r="M382" s="25"/>
      <x:c r="N382" s="25"/>
      <x:c r="O382" s="25"/>
      <x:c r="P382" s="25"/>
      <x:c r="Q382" s="25"/>
      <x:c r="R382" s="25"/>
      <x:c r="S382" s="25"/>
      <x:c r="T382" s="25"/>
      <x:c r="U382" s="25"/>
      <x:c r="V382" s="25"/>
      <x:c r="W382" s="25"/>
      <x:c r="X382" s="25"/>
      <x:c r="Y382" s="25"/>
      <x:c r="Z382" s="25"/>
    </x:row>
    <x:row r="383">
      <x:c r="A383" s="25"/>
      <x:c r="B383" s="25"/>
      <x:c r="C383" s="25"/>
      <x:c r="D383" s="25"/>
      <x:c r="E383" s="25"/>
      <x:c r="F383" s="25"/>
      <x:c r="G383" s="25"/>
      <x:c r="H383" s="25"/>
      <x:c r="I383" s="25"/>
      <x:c r="J383" s="25"/>
      <x:c r="K383" s="25"/>
      <x:c r="L383" s="25"/>
      <x:c r="M383" s="25"/>
      <x:c r="N383" s="25"/>
      <x:c r="O383" s="25"/>
      <x:c r="P383" s="25"/>
      <x:c r="Q383" s="25"/>
      <x:c r="R383" s="25"/>
      <x:c r="S383" s="25"/>
      <x:c r="T383" s="25"/>
      <x:c r="U383" s="25"/>
      <x:c r="V383" s="25"/>
      <x:c r="W383" s="25"/>
      <x:c r="X383" s="25"/>
      <x:c r="Y383" s="25"/>
      <x:c r="Z383" s="25"/>
    </x:row>
    <x:row r="384">
      <x:c r="A384" s="25"/>
      <x:c r="B384" s="25"/>
      <x:c r="C384" s="25"/>
      <x:c r="D384" s="25"/>
      <x:c r="E384" s="25"/>
      <x:c r="F384" s="25"/>
      <x:c r="G384" s="25"/>
      <x:c r="H384" s="25"/>
      <x:c r="I384" s="25"/>
      <x:c r="J384" s="25"/>
      <x:c r="K384" s="25"/>
      <x:c r="L384" s="25"/>
      <x:c r="M384" s="25"/>
      <x:c r="N384" s="25"/>
      <x:c r="O384" s="25"/>
      <x:c r="P384" s="25"/>
      <x:c r="Q384" s="25"/>
      <x:c r="R384" s="25"/>
      <x:c r="S384" s="25"/>
      <x:c r="T384" s="25"/>
      <x:c r="U384" s="25"/>
      <x:c r="V384" s="25"/>
      <x:c r="W384" s="25"/>
      <x:c r="X384" s="25"/>
      <x:c r="Y384" s="25"/>
      <x:c r="Z384" s="25"/>
    </x:row>
    <x:row r="385">
      <x:c r="A385" s="25"/>
      <x:c r="B385" s="25"/>
      <x:c r="C385" s="25"/>
      <x:c r="D385" s="25"/>
      <x:c r="E385" s="25"/>
      <x:c r="F385" s="25"/>
      <x:c r="G385" s="25"/>
      <x:c r="H385" s="25"/>
      <x:c r="I385" s="25"/>
      <x:c r="J385" s="25"/>
      <x:c r="K385" s="25"/>
      <x:c r="L385" s="25"/>
      <x:c r="M385" s="25"/>
      <x:c r="N385" s="25"/>
      <x:c r="O385" s="25"/>
      <x:c r="P385" s="25"/>
      <x:c r="Q385" s="25"/>
      <x:c r="R385" s="25"/>
      <x:c r="S385" s="25"/>
      <x:c r="T385" s="25"/>
      <x:c r="U385" s="25"/>
      <x:c r="V385" s="25"/>
      <x:c r="W385" s="25"/>
      <x:c r="X385" s="25"/>
      <x:c r="Y385" s="25"/>
      <x:c r="Z385" s="25"/>
    </x:row>
    <x:row r="386">
      <x:c r="A386" s="25"/>
      <x:c r="B386" s="25"/>
      <x:c r="C386" s="25"/>
      <x:c r="D386" s="25"/>
      <x:c r="E386" s="25"/>
      <x:c r="F386" s="25"/>
      <x:c r="G386" s="25"/>
      <x:c r="H386" s="25"/>
      <x:c r="I386" s="25"/>
      <x:c r="J386" s="25"/>
      <x:c r="K386" s="25"/>
      <x:c r="L386" s="25"/>
      <x:c r="M386" s="25"/>
      <x:c r="N386" s="25"/>
      <x:c r="O386" s="25"/>
      <x:c r="P386" s="25"/>
      <x:c r="Q386" s="25"/>
      <x:c r="R386" s="25"/>
      <x:c r="S386" s="25"/>
      <x:c r="T386" s="25"/>
      <x:c r="U386" s="25"/>
      <x:c r="V386" s="25"/>
      <x:c r="W386" s="25"/>
      <x:c r="X386" s="25"/>
      <x:c r="Y386" s="25"/>
      <x:c r="Z386" s="25"/>
    </x:row>
    <x:row r="387">
      <x:c r="A387" s="25"/>
      <x:c r="B387" s="25"/>
      <x:c r="C387" s="25"/>
      <x:c r="D387" s="25"/>
      <x:c r="E387" s="25"/>
      <x:c r="F387" s="25"/>
      <x:c r="G387" s="25"/>
      <x:c r="H387" s="25"/>
      <x:c r="I387" s="25"/>
      <x:c r="J387" s="25"/>
      <x:c r="K387" s="25"/>
      <x:c r="L387" s="25"/>
      <x:c r="M387" s="25"/>
      <x:c r="N387" s="25"/>
      <x:c r="O387" s="25"/>
      <x:c r="P387" s="25"/>
      <x:c r="Q387" s="25"/>
      <x:c r="R387" s="25"/>
      <x:c r="S387" s="25"/>
      <x:c r="T387" s="25"/>
      <x:c r="U387" s="25"/>
      <x:c r="V387" s="25"/>
      <x:c r="W387" s="25"/>
      <x:c r="X387" s="25"/>
      <x:c r="Y387" s="25"/>
      <x:c r="Z387" s="25"/>
    </x:row>
    <x:row r="388">
      <x:c r="A388" s="25"/>
      <x:c r="B388" s="25"/>
      <x:c r="C388" s="25"/>
      <x:c r="D388" s="25"/>
      <x:c r="E388" s="25"/>
      <x:c r="F388" s="25"/>
      <x:c r="G388" s="25"/>
      <x:c r="H388" s="25"/>
      <x:c r="I388" s="25"/>
      <x:c r="J388" s="25"/>
      <x:c r="K388" s="25"/>
      <x:c r="L388" s="25"/>
      <x:c r="M388" s="25"/>
      <x:c r="N388" s="25"/>
      <x:c r="O388" s="25"/>
      <x:c r="P388" s="25"/>
      <x:c r="Q388" s="25"/>
      <x:c r="R388" s="25"/>
      <x:c r="S388" s="25"/>
      <x:c r="T388" s="25"/>
      <x:c r="U388" s="25"/>
      <x:c r="V388" s="25"/>
      <x:c r="W388" s="25"/>
      <x:c r="X388" s="25"/>
      <x:c r="Y388" s="25"/>
      <x:c r="Z388" s="25"/>
    </x:row>
    <x:row r="389">
      <x:c r="A389" s="25"/>
      <x:c r="B389" s="25"/>
      <x:c r="C389" s="25"/>
      <x:c r="D389" s="25"/>
      <x:c r="E389" s="25"/>
      <x:c r="F389" s="25"/>
      <x:c r="G389" s="25"/>
      <x:c r="H389" s="25"/>
      <x:c r="I389" s="25"/>
      <x:c r="J389" s="25"/>
      <x:c r="K389" s="25"/>
      <x:c r="L389" s="25"/>
      <x:c r="M389" s="25"/>
      <x:c r="N389" s="25"/>
      <x:c r="O389" s="25"/>
      <x:c r="P389" s="25"/>
      <x:c r="Q389" s="25"/>
      <x:c r="R389" s="25"/>
      <x:c r="S389" s="25"/>
      <x:c r="T389" s="25"/>
      <x:c r="U389" s="25"/>
      <x:c r="V389" s="25"/>
      <x:c r="W389" s="25"/>
      <x:c r="X389" s="25"/>
      <x:c r="Y389" s="25"/>
      <x:c r="Z389" s="25"/>
    </x:row>
    <x:row r="390">
      <x:c r="A390" s="25"/>
      <x:c r="B390" s="25"/>
      <x:c r="C390" s="25"/>
      <x:c r="D390" s="25"/>
      <x:c r="E390" s="25"/>
      <x:c r="F390" s="25"/>
      <x:c r="G390" s="25"/>
      <x:c r="H390" s="25"/>
      <x:c r="I390" s="25"/>
      <x:c r="J390" s="25"/>
      <x:c r="K390" s="25"/>
      <x:c r="L390" s="25"/>
      <x:c r="M390" s="25"/>
      <x:c r="N390" s="25"/>
      <x:c r="O390" s="25"/>
      <x:c r="P390" s="25"/>
      <x:c r="Q390" s="25"/>
      <x:c r="R390" s="25"/>
      <x:c r="S390" s="25"/>
      <x:c r="T390" s="25"/>
      <x:c r="U390" s="25"/>
      <x:c r="V390" s="25"/>
      <x:c r="W390" s="25"/>
      <x:c r="X390" s="25"/>
      <x:c r="Y390" s="25"/>
      <x:c r="Z390" s="25"/>
    </x:row>
    <x:row r="391">
      <x:c r="A391" s="25"/>
      <x:c r="B391" s="25"/>
      <x:c r="C391" s="25"/>
      <x:c r="D391" s="25"/>
      <x:c r="E391" s="25"/>
      <x:c r="F391" s="25"/>
      <x:c r="G391" s="25"/>
      <x:c r="H391" s="25"/>
      <x:c r="I391" s="25"/>
      <x:c r="J391" s="25"/>
      <x:c r="K391" s="25"/>
      <x:c r="L391" s="25"/>
      <x:c r="M391" s="25"/>
      <x:c r="N391" s="25"/>
      <x:c r="O391" s="25"/>
      <x:c r="P391" s="25"/>
      <x:c r="Q391" s="25"/>
      <x:c r="R391" s="25"/>
      <x:c r="S391" s="25"/>
      <x:c r="T391" s="25"/>
      <x:c r="U391" s="25"/>
      <x:c r="V391" s="25"/>
      <x:c r="W391" s="25"/>
      <x:c r="X391" s="25"/>
      <x:c r="Y391" s="25"/>
      <x:c r="Z391" s="25"/>
    </x:row>
    <x:row r="392">
      <x:c r="A392" s="25"/>
      <x:c r="B392" s="25"/>
      <x:c r="C392" s="25"/>
      <x:c r="D392" s="25"/>
      <x:c r="E392" s="25"/>
      <x:c r="F392" s="25"/>
      <x:c r="G392" s="25"/>
      <x:c r="H392" s="25"/>
      <x:c r="I392" s="25"/>
      <x:c r="J392" s="25"/>
      <x:c r="K392" s="25"/>
      <x:c r="L392" s="25"/>
      <x:c r="M392" s="25"/>
      <x:c r="N392" s="25"/>
      <x:c r="O392" s="25"/>
      <x:c r="P392" s="25"/>
      <x:c r="Q392" s="25"/>
      <x:c r="R392" s="25"/>
      <x:c r="S392" s="25"/>
      <x:c r="T392" s="25"/>
      <x:c r="U392" s="25"/>
      <x:c r="V392" s="25"/>
      <x:c r="W392" s="25"/>
      <x:c r="X392" s="25"/>
      <x:c r="Y392" s="25"/>
      <x:c r="Z392" s="25"/>
    </x:row>
    <x:row r="393">
      <x:c r="A393" s="25"/>
      <x:c r="B393" s="25"/>
      <x:c r="C393" s="25"/>
      <x:c r="D393" s="25"/>
      <x:c r="E393" s="25"/>
      <x:c r="F393" s="25"/>
      <x:c r="G393" s="25"/>
      <x:c r="H393" s="25"/>
      <x:c r="I393" s="25"/>
      <x:c r="J393" s="25"/>
      <x:c r="K393" s="25"/>
      <x:c r="L393" s="25"/>
      <x:c r="M393" s="25"/>
      <x:c r="N393" s="25"/>
      <x:c r="O393" s="25"/>
      <x:c r="P393" s="25"/>
      <x:c r="Q393" s="25"/>
      <x:c r="R393" s="25"/>
      <x:c r="S393" s="25"/>
      <x:c r="T393" s="25"/>
      <x:c r="U393" s="25"/>
      <x:c r="V393" s="25"/>
      <x:c r="W393" s="25"/>
      <x:c r="X393" s="25"/>
      <x:c r="Y393" s="25"/>
      <x:c r="Z393" s="25"/>
    </x:row>
    <x:row r="394">
      <x:c r="A394" s="25"/>
      <x:c r="B394" s="25"/>
      <x:c r="C394" s="25"/>
      <x:c r="D394" s="25"/>
      <x:c r="E394" s="25"/>
      <x:c r="F394" s="25"/>
      <x:c r="G394" s="25"/>
      <x:c r="H394" s="25"/>
      <x:c r="I394" s="25"/>
      <x:c r="J394" s="25"/>
      <x:c r="K394" s="25"/>
      <x:c r="L394" s="25"/>
      <x:c r="M394" s="25"/>
      <x:c r="N394" s="25"/>
      <x:c r="O394" s="25"/>
      <x:c r="P394" s="25"/>
      <x:c r="Q394" s="25"/>
      <x:c r="R394" s="25"/>
      <x:c r="S394" s="25"/>
      <x:c r="T394" s="25"/>
      <x:c r="U394" s="25"/>
      <x:c r="V394" s="25"/>
      <x:c r="W394" s="25"/>
      <x:c r="X394" s="25"/>
      <x:c r="Y394" s="25"/>
      <x:c r="Z394" s="25"/>
    </x:row>
    <x:row r="395">
      <x:c r="A395" s="25"/>
      <x:c r="B395" s="25"/>
      <x:c r="C395" s="25"/>
      <x:c r="D395" s="25"/>
      <x:c r="E395" s="25"/>
      <x:c r="F395" s="25"/>
      <x:c r="G395" s="25"/>
      <x:c r="H395" s="25"/>
      <x:c r="I395" s="25"/>
      <x:c r="J395" s="25"/>
      <x:c r="K395" s="25"/>
      <x:c r="L395" s="25"/>
      <x:c r="M395" s="25"/>
      <x:c r="N395" s="25"/>
      <x:c r="O395" s="25"/>
      <x:c r="P395" s="25"/>
      <x:c r="Q395" s="25"/>
      <x:c r="R395" s="25"/>
      <x:c r="S395" s="25"/>
      <x:c r="T395" s="25"/>
      <x:c r="U395" s="25"/>
      <x:c r="V395" s="25"/>
      <x:c r="W395" s="25"/>
      <x:c r="X395" s="25"/>
      <x:c r="Y395" s="25"/>
      <x:c r="Z395" s="25"/>
    </x:row>
    <x:row r="396">
      <x:c r="A396" s="25"/>
      <x:c r="B396" s="25"/>
      <x:c r="C396" s="25"/>
      <x:c r="D396" s="25"/>
      <x:c r="E396" s="25"/>
      <x:c r="F396" s="25"/>
      <x:c r="G396" s="25"/>
      <x:c r="H396" s="25"/>
      <x:c r="I396" s="25"/>
      <x:c r="J396" s="25"/>
      <x:c r="K396" s="25"/>
      <x:c r="L396" s="25"/>
      <x:c r="M396" s="25"/>
      <x:c r="N396" s="25"/>
      <x:c r="O396" s="25"/>
      <x:c r="P396" s="25"/>
      <x:c r="Q396" s="25"/>
      <x:c r="R396" s="25"/>
      <x:c r="S396" s="25"/>
      <x:c r="T396" s="25"/>
      <x:c r="U396" s="25"/>
      <x:c r="V396" s="25"/>
      <x:c r="W396" s="25"/>
      <x:c r="X396" s="25"/>
      <x:c r="Y396" s="25"/>
      <x:c r="Z396" s="25"/>
    </x:row>
    <x:row r="397">
      <x:c r="A397" s="25"/>
      <x:c r="B397" s="25"/>
      <x:c r="C397" s="25"/>
      <x:c r="D397" s="25"/>
      <x:c r="E397" s="25"/>
      <x:c r="F397" s="25"/>
      <x:c r="G397" s="25"/>
      <x:c r="H397" s="25"/>
      <x:c r="I397" s="25"/>
      <x:c r="J397" s="25"/>
      <x:c r="K397" s="25"/>
      <x:c r="L397" s="25"/>
      <x:c r="M397" s="25"/>
      <x:c r="N397" s="25"/>
      <x:c r="O397" s="25"/>
      <x:c r="P397" s="25"/>
      <x:c r="Q397" s="25"/>
      <x:c r="R397" s="25"/>
      <x:c r="S397" s="25"/>
      <x:c r="T397" s="25"/>
      <x:c r="U397" s="25"/>
      <x:c r="V397" s="25"/>
      <x:c r="W397" s="25"/>
      <x:c r="X397" s="25"/>
      <x:c r="Y397" s="25"/>
      <x:c r="Z397" s="25"/>
    </x:row>
    <x:row r="398">
      <x:c r="A398" s="25"/>
      <x:c r="B398" s="25"/>
      <x:c r="C398" s="25"/>
      <x:c r="D398" s="25"/>
      <x:c r="E398" s="25"/>
      <x:c r="F398" s="25"/>
      <x:c r="G398" s="25"/>
      <x:c r="H398" s="25"/>
      <x:c r="I398" s="25"/>
      <x:c r="J398" s="25"/>
      <x:c r="K398" s="25"/>
      <x:c r="L398" s="25"/>
      <x:c r="M398" s="25"/>
      <x:c r="N398" s="25"/>
      <x:c r="O398" s="25"/>
      <x:c r="P398" s="25"/>
      <x:c r="Q398" s="25"/>
      <x:c r="R398" s="25"/>
      <x:c r="S398" s="25"/>
      <x:c r="T398" s="25"/>
      <x:c r="U398" s="25"/>
      <x:c r="V398" s="25"/>
      <x:c r="W398" s="25"/>
      <x:c r="X398" s="25"/>
      <x:c r="Y398" s="25"/>
      <x:c r="Z398" s="25"/>
    </x:row>
    <x:row r="399">
      <x:c r="A399" s="25"/>
      <x:c r="B399" s="25"/>
      <x:c r="C399" s="25"/>
      <x:c r="D399" s="25"/>
      <x:c r="E399" s="25"/>
      <x:c r="F399" s="25"/>
      <x:c r="G399" s="25"/>
      <x:c r="H399" s="25"/>
      <x:c r="I399" s="25"/>
      <x:c r="J399" s="25"/>
      <x:c r="K399" s="25"/>
      <x:c r="L399" s="25"/>
      <x:c r="M399" s="25"/>
      <x:c r="N399" s="25"/>
      <x:c r="O399" s="25"/>
      <x:c r="P399" s="25"/>
      <x:c r="Q399" s="25"/>
      <x:c r="R399" s="25"/>
      <x:c r="S399" s="25"/>
      <x:c r="T399" s="25"/>
      <x:c r="U399" s="25"/>
      <x:c r="V399" s="25"/>
      <x:c r="W399" s="25"/>
      <x:c r="X399" s="25"/>
      <x:c r="Y399" s="25"/>
      <x:c r="Z399" s="25"/>
    </x:row>
    <x:row r="400">
      <x:c r="A400" s="25"/>
      <x:c r="B400" s="25"/>
      <x:c r="C400" s="25"/>
      <x:c r="D400" s="25"/>
      <x:c r="E400" s="25"/>
      <x:c r="F400" s="25"/>
      <x:c r="G400" s="25"/>
      <x:c r="H400" s="25"/>
      <x:c r="I400" s="25"/>
      <x:c r="J400" s="25"/>
      <x:c r="K400" s="25"/>
      <x:c r="L400" s="25"/>
      <x:c r="M400" s="25"/>
      <x:c r="N400" s="25"/>
      <x:c r="O400" s="25"/>
      <x:c r="P400" s="25"/>
      <x:c r="Q400" s="25"/>
      <x:c r="R400" s="25"/>
      <x:c r="S400" s="25"/>
      <x:c r="T400" s="25"/>
      <x:c r="U400" s="25"/>
      <x:c r="V400" s="25"/>
      <x:c r="W400" s="25"/>
      <x:c r="X400" s="25"/>
      <x:c r="Y400" s="25"/>
      <x:c r="Z400" s="25"/>
    </x:row>
    <x:row r="401">
      <x:c r="A401" s="25"/>
      <x:c r="B401" s="25"/>
      <x:c r="C401" s="25"/>
      <x:c r="D401" s="25"/>
      <x:c r="E401" s="25"/>
      <x:c r="F401" s="25"/>
      <x:c r="G401" s="25"/>
      <x:c r="H401" s="25"/>
      <x:c r="I401" s="25"/>
      <x:c r="J401" s="25"/>
      <x:c r="K401" s="25"/>
      <x:c r="L401" s="25"/>
      <x:c r="M401" s="25"/>
      <x:c r="N401" s="25"/>
      <x:c r="O401" s="25"/>
      <x:c r="P401" s="25"/>
      <x:c r="Q401" s="25"/>
      <x:c r="R401" s="25"/>
      <x:c r="S401" s="25"/>
      <x:c r="T401" s="25"/>
      <x:c r="U401" s="25"/>
      <x:c r="V401" s="25"/>
      <x:c r="W401" s="25"/>
      <x:c r="X401" s="25"/>
      <x:c r="Y401" s="25"/>
      <x:c r="Z401" s="25"/>
    </x:row>
    <x:row r="402">
      <x:c r="A402" s="25"/>
      <x:c r="B402" s="25"/>
      <x:c r="C402" s="25"/>
      <x:c r="D402" s="25"/>
      <x:c r="E402" s="25"/>
      <x:c r="F402" s="25"/>
      <x:c r="G402" s="25"/>
      <x:c r="H402" s="25"/>
      <x:c r="I402" s="25"/>
      <x:c r="J402" s="25"/>
      <x:c r="K402" s="25"/>
      <x:c r="L402" s="25"/>
      <x:c r="M402" s="25"/>
      <x:c r="N402" s="25"/>
      <x:c r="O402" s="25"/>
      <x:c r="P402" s="25"/>
      <x:c r="Q402" s="25"/>
      <x:c r="R402" s="25"/>
      <x:c r="S402" s="25"/>
      <x:c r="T402" s="25"/>
      <x:c r="U402" s="25"/>
      <x:c r="V402" s="25"/>
      <x:c r="W402" s="25"/>
      <x:c r="X402" s="25"/>
      <x:c r="Y402" s="25"/>
      <x:c r="Z402" s="25"/>
    </x:row>
    <x:row r="403">
      <x:c r="A403" s="25"/>
      <x:c r="B403" s="25"/>
      <x:c r="C403" s="25"/>
      <x:c r="D403" s="25"/>
      <x:c r="E403" s="25"/>
      <x:c r="F403" s="25"/>
      <x:c r="G403" s="25"/>
      <x:c r="H403" s="25"/>
      <x:c r="I403" s="25"/>
      <x:c r="J403" s="25"/>
      <x:c r="K403" s="25"/>
      <x:c r="L403" s="25"/>
      <x:c r="M403" s="25"/>
      <x:c r="N403" s="25"/>
      <x:c r="O403" s="25"/>
      <x:c r="P403" s="25"/>
      <x:c r="Q403" s="25"/>
      <x:c r="R403" s="25"/>
      <x:c r="S403" s="25"/>
      <x:c r="T403" s="25"/>
      <x:c r="U403" s="25"/>
      <x:c r="V403" s="25"/>
      <x:c r="W403" s="25"/>
      <x:c r="X403" s="25"/>
      <x:c r="Y403" s="25"/>
      <x:c r="Z403" s="25"/>
    </x:row>
    <x:row r="404">
      <x:c r="A404" s="25"/>
      <x:c r="B404" s="25"/>
      <x:c r="C404" s="25"/>
      <x:c r="D404" s="25"/>
      <x:c r="E404" s="25"/>
      <x:c r="F404" s="25"/>
      <x:c r="G404" s="25"/>
      <x:c r="H404" s="25"/>
      <x:c r="I404" s="25"/>
      <x:c r="J404" s="25"/>
      <x:c r="K404" s="25"/>
      <x:c r="L404" s="25"/>
      <x:c r="M404" s="25"/>
      <x:c r="N404" s="25"/>
      <x:c r="O404" s="25"/>
      <x:c r="P404" s="25"/>
      <x:c r="Q404" s="25"/>
      <x:c r="R404" s="25"/>
      <x:c r="S404" s="25"/>
      <x:c r="T404" s="25"/>
      <x:c r="U404" s="25"/>
      <x:c r="V404" s="25"/>
      <x:c r="W404" s="25"/>
      <x:c r="X404" s="25"/>
      <x:c r="Y404" s="25"/>
      <x:c r="Z404" s="25"/>
    </x:row>
    <x:row r="405">
      <x:c r="A405" s="25"/>
      <x:c r="B405" s="25"/>
      <x:c r="C405" s="25"/>
      <x:c r="D405" s="25"/>
      <x:c r="E405" s="25"/>
      <x:c r="F405" s="25"/>
      <x:c r="G405" s="25"/>
      <x:c r="H405" s="25"/>
      <x:c r="I405" s="25"/>
      <x:c r="J405" s="25"/>
      <x:c r="K405" s="25"/>
      <x:c r="L405" s="25"/>
      <x:c r="M405" s="25"/>
      <x:c r="N405" s="25"/>
      <x:c r="O405" s="25"/>
      <x:c r="P405" s="25"/>
      <x:c r="Q405" s="25"/>
      <x:c r="R405" s="25"/>
      <x:c r="S405" s="25"/>
      <x:c r="T405" s="25"/>
      <x:c r="U405" s="25"/>
      <x:c r="V405" s="25"/>
      <x:c r="W405" s="25"/>
      <x:c r="X405" s="25"/>
      <x:c r="Y405" s="25"/>
      <x:c r="Z405" s="25"/>
    </x:row>
    <x:row r="406">
      <x:c r="A406" s="25"/>
      <x:c r="B406" s="25"/>
      <x:c r="C406" s="25"/>
      <x:c r="D406" s="25"/>
      <x:c r="E406" s="25"/>
      <x:c r="F406" s="25"/>
      <x:c r="G406" s="25"/>
      <x:c r="H406" s="25"/>
      <x:c r="I406" s="25"/>
      <x:c r="J406" s="25"/>
      <x:c r="K406" s="25"/>
      <x:c r="L406" s="25"/>
      <x:c r="M406" s="25"/>
      <x:c r="N406" s="25"/>
      <x:c r="O406" s="25"/>
      <x:c r="P406" s="25"/>
      <x:c r="Q406" s="25"/>
      <x:c r="R406" s="25"/>
      <x:c r="S406" s="25"/>
      <x:c r="T406" s="25"/>
      <x:c r="U406" s="25"/>
      <x:c r="V406" s="25"/>
      <x:c r="W406" s="25"/>
      <x:c r="X406" s="25"/>
      <x:c r="Y406" s="25"/>
      <x:c r="Z406" s="25"/>
    </x:row>
    <x:row r="407">
      <x:c r="A407" s="25"/>
      <x:c r="B407" s="25"/>
      <x:c r="C407" s="25"/>
      <x:c r="D407" s="25"/>
      <x:c r="E407" s="25"/>
      <x:c r="F407" s="25"/>
      <x:c r="G407" s="25"/>
      <x:c r="H407" s="25"/>
      <x:c r="I407" s="25"/>
      <x:c r="J407" s="25"/>
      <x:c r="K407" s="25"/>
      <x:c r="L407" s="25"/>
      <x:c r="M407" s="25"/>
      <x:c r="N407" s="25"/>
      <x:c r="O407" s="25"/>
      <x:c r="P407" s="25"/>
      <x:c r="Q407" s="25"/>
      <x:c r="R407" s="25"/>
      <x:c r="S407" s="25"/>
      <x:c r="T407" s="25"/>
      <x:c r="U407" s="25"/>
      <x:c r="V407" s="25"/>
      <x:c r="W407" s="25"/>
      <x:c r="X407" s="25"/>
      <x:c r="Y407" s="25"/>
      <x:c r="Z407" s="25"/>
    </x:row>
    <x:row r="408">
      <x:c r="A408" s="25"/>
      <x:c r="B408" s="25"/>
      <x:c r="C408" s="25"/>
      <x:c r="D408" s="25"/>
      <x:c r="E408" s="25"/>
      <x:c r="F408" s="25"/>
      <x:c r="G408" s="25"/>
      <x:c r="H408" s="25"/>
      <x:c r="I408" s="25"/>
      <x:c r="J408" s="25"/>
      <x:c r="K408" s="25"/>
      <x:c r="L408" s="25"/>
      <x:c r="M408" s="25"/>
      <x:c r="N408" s="25"/>
      <x:c r="O408" s="25"/>
      <x:c r="P408" s="25"/>
      <x:c r="Q408" s="25"/>
      <x:c r="R408" s="25"/>
      <x:c r="S408" s="25"/>
      <x:c r="T408" s="25"/>
      <x:c r="U408" s="25"/>
      <x:c r="V408" s="25"/>
      <x:c r="W408" s="25"/>
      <x:c r="X408" s="25"/>
      <x:c r="Y408" s="25"/>
      <x:c r="Z408" s="25"/>
    </x:row>
    <x:row r="409">
      <x:c r="A409" s="25"/>
      <x:c r="B409" s="25"/>
      <x:c r="C409" s="25"/>
      <x:c r="D409" s="25"/>
      <x:c r="E409" s="25"/>
      <x:c r="F409" s="25"/>
      <x:c r="G409" s="25"/>
      <x:c r="H409" s="25"/>
      <x:c r="I409" s="25"/>
      <x:c r="J409" s="25"/>
      <x:c r="K409" s="25"/>
      <x:c r="L409" s="25"/>
      <x:c r="M409" s="25"/>
      <x:c r="N409" s="25"/>
      <x:c r="O409" s="25"/>
      <x:c r="P409" s="25"/>
      <x:c r="Q409" s="25"/>
      <x:c r="R409" s="25"/>
      <x:c r="S409" s="25"/>
      <x:c r="T409" s="25"/>
      <x:c r="U409" s="25"/>
      <x:c r="V409" s="25"/>
      <x:c r="W409" s="25"/>
      <x:c r="X409" s="25"/>
      <x:c r="Y409" s="25"/>
      <x:c r="Z409" s="25"/>
    </x:row>
    <x:row r="410">
      <x:c r="A410" s="25"/>
      <x:c r="B410" s="25"/>
      <x:c r="C410" s="25"/>
      <x:c r="D410" s="25"/>
      <x:c r="E410" s="25"/>
      <x:c r="F410" s="25"/>
      <x:c r="G410" s="25"/>
      <x:c r="H410" s="25"/>
      <x:c r="I410" s="25"/>
      <x:c r="J410" s="25"/>
      <x:c r="K410" s="25"/>
      <x:c r="L410" s="25"/>
      <x:c r="M410" s="25"/>
      <x:c r="N410" s="25"/>
      <x:c r="O410" s="25"/>
      <x:c r="P410" s="25"/>
      <x:c r="Q410" s="25"/>
      <x:c r="R410" s="25"/>
      <x:c r="S410" s="25"/>
      <x:c r="T410" s="25"/>
      <x:c r="U410" s="25"/>
      <x:c r="V410" s="25"/>
      <x:c r="W410" s="25"/>
      <x:c r="X410" s="25"/>
      <x:c r="Y410" s="25"/>
      <x:c r="Z410" s="25"/>
    </x:row>
    <x:row r="411">
      <x:c r="A411" s="25"/>
      <x:c r="B411" s="25"/>
      <x:c r="C411" s="25"/>
      <x:c r="D411" s="25"/>
      <x:c r="E411" s="25"/>
      <x:c r="F411" s="25"/>
      <x:c r="G411" s="25"/>
      <x:c r="H411" s="25"/>
      <x:c r="I411" s="25"/>
      <x:c r="J411" s="25"/>
      <x:c r="K411" s="25"/>
      <x:c r="L411" s="25"/>
      <x:c r="M411" s="25"/>
      <x:c r="N411" s="25"/>
      <x:c r="O411" s="25"/>
      <x:c r="P411" s="25"/>
      <x:c r="Q411" s="25"/>
      <x:c r="R411" s="25"/>
      <x:c r="S411" s="25"/>
      <x:c r="T411" s="25"/>
      <x:c r="U411" s="25"/>
      <x:c r="V411" s="25"/>
      <x:c r="W411" s="25"/>
      <x:c r="X411" s="25"/>
      <x:c r="Y411" s="25"/>
      <x:c r="Z411" s="25"/>
    </x:row>
    <x:row r="412">
      <x:c r="A412" s="25"/>
      <x:c r="B412" s="25"/>
      <x:c r="C412" s="25"/>
      <x:c r="D412" s="25"/>
      <x:c r="E412" s="25"/>
      <x:c r="F412" s="25"/>
      <x:c r="G412" s="25"/>
      <x:c r="H412" s="25"/>
      <x:c r="I412" s="25"/>
      <x:c r="J412" s="25"/>
      <x:c r="K412" s="25"/>
      <x:c r="L412" s="25"/>
      <x:c r="M412" s="25"/>
      <x:c r="N412" s="25"/>
      <x:c r="O412" s="25"/>
      <x:c r="P412" s="25"/>
      <x:c r="Q412" s="25"/>
      <x:c r="R412" s="25"/>
      <x:c r="S412" s="25"/>
      <x:c r="T412" s="25"/>
      <x:c r="U412" s="25"/>
      <x:c r="V412" s="25"/>
      <x:c r="W412" s="25"/>
      <x:c r="X412" s="25"/>
      <x:c r="Y412" s="25"/>
      <x:c r="Z412" s="25"/>
    </x:row>
    <x:row r="413">
      <x:c r="A413" s="25"/>
      <x:c r="B413" s="25"/>
      <x:c r="C413" s="25"/>
      <x:c r="D413" s="25"/>
      <x:c r="E413" s="25"/>
      <x:c r="F413" s="25"/>
      <x:c r="G413" s="25"/>
      <x:c r="H413" s="25"/>
      <x:c r="I413" s="25"/>
      <x:c r="J413" s="25"/>
      <x:c r="K413" s="25"/>
      <x:c r="L413" s="25"/>
      <x:c r="M413" s="25"/>
      <x:c r="N413" s="25"/>
      <x:c r="O413" s="25"/>
      <x:c r="P413" s="25"/>
      <x:c r="Q413" s="25"/>
      <x:c r="R413" s="25"/>
      <x:c r="S413" s="25"/>
      <x:c r="T413" s="25"/>
      <x:c r="U413" s="25"/>
      <x:c r="V413" s="25"/>
      <x:c r="W413" s="25"/>
      <x:c r="X413" s="25"/>
      <x:c r="Y413" s="25"/>
      <x:c r="Z413" s="25"/>
    </x:row>
    <x:row r="414">
      <x:c r="A414" s="25"/>
      <x:c r="B414" s="25"/>
      <x:c r="C414" s="25"/>
      <x:c r="D414" s="25"/>
      <x:c r="E414" s="25"/>
      <x:c r="F414" s="25"/>
      <x:c r="G414" s="25"/>
      <x:c r="H414" s="25"/>
      <x:c r="I414" s="25"/>
      <x:c r="J414" s="25"/>
      <x:c r="K414" s="25"/>
      <x:c r="L414" s="25"/>
      <x:c r="M414" s="25"/>
      <x:c r="N414" s="25"/>
      <x:c r="O414" s="25"/>
      <x:c r="P414" s="25"/>
      <x:c r="Q414" s="25"/>
      <x:c r="R414" s="25"/>
      <x:c r="S414" s="25"/>
      <x:c r="T414" s="25"/>
      <x:c r="U414" s="25"/>
      <x:c r="V414" s="25"/>
      <x:c r="W414" s="25"/>
      <x:c r="X414" s="25"/>
      <x:c r="Y414" s="25"/>
      <x:c r="Z414" s="25"/>
    </x:row>
    <x:row r="415">
      <x:c r="A415" s="25"/>
      <x:c r="B415" s="25"/>
      <x:c r="C415" s="25"/>
      <x:c r="D415" s="25"/>
      <x:c r="E415" s="25"/>
      <x:c r="F415" s="25"/>
      <x:c r="G415" s="25"/>
      <x:c r="H415" s="25"/>
      <x:c r="I415" s="25"/>
      <x:c r="J415" s="25"/>
      <x:c r="K415" s="25"/>
      <x:c r="L415" s="25"/>
      <x:c r="M415" s="25"/>
      <x:c r="N415" s="25"/>
      <x:c r="O415" s="25"/>
      <x:c r="P415" s="25"/>
      <x:c r="Q415" s="25"/>
      <x:c r="R415" s="25"/>
      <x:c r="S415" s="25"/>
      <x:c r="T415" s="25"/>
      <x:c r="U415" s="25"/>
      <x:c r="V415" s="25"/>
      <x:c r="W415" s="25"/>
      <x:c r="X415" s="25"/>
      <x:c r="Y415" s="25"/>
      <x:c r="Z415" s="25"/>
    </x:row>
    <x:row r="416">
      <x:c r="A416" s="25"/>
      <x:c r="B416" s="25"/>
      <x:c r="C416" s="25"/>
      <x:c r="D416" s="25"/>
      <x:c r="E416" s="25"/>
      <x:c r="F416" s="25"/>
      <x:c r="G416" s="25"/>
      <x:c r="H416" s="25"/>
      <x:c r="I416" s="25"/>
      <x:c r="J416" s="25"/>
      <x:c r="K416" s="25"/>
      <x:c r="L416" s="25"/>
      <x:c r="M416" s="25"/>
      <x:c r="N416" s="25"/>
      <x:c r="O416" s="25"/>
      <x:c r="P416" s="25"/>
      <x:c r="Q416" s="25"/>
      <x:c r="R416" s="25"/>
      <x:c r="S416" s="25"/>
      <x:c r="T416" s="25"/>
      <x:c r="U416" s="25"/>
      <x:c r="V416" s="25"/>
      <x:c r="W416" s="25"/>
      <x:c r="X416" s="25"/>
      <x:c r="Y416" s="25"/>
      <x:c r="Z416" s="25"/>
    </x:row>
    <x:row r="417">
      <x:c r="A417" s="25"/>
      <x:c r="B417" s="25"/>
      <x:c r="C417" s="25"/>
      <x:c r="D417" s="25"/>
      <x:c r="E417" s="25"/>
      <x:c r="F417" s="25"/>
      <x:c r="G417" s="25"/>
      <x:c r="H417" s="25"/>
      <x:c r="I417" s="25"/>
      <x:c r="J417" s="25"/>
      <x:c r="K417" s="25"/>
      <x:c r="L417" s="25"/>
      <x:c r="M417" s="25"/>
      <x:c r="N417" s="25"/>
      <x:c r="O417" s="25"/>
      <x:c r="P417" s="25"/>
      <x:c r="Q417" s="25"/>
      <x:c r="R417" s="25"/>
      <x:c r="S417" s="25"/>
      <x:c r="T417" s="25"/>
      <x:c r="U417" s="25"/>
      <x:c r="V417" s="25"/>
      <x:c r="W417" s="25"/>
      <x:c r="X417" s="25"/>
      <x:c r="Y417" s="25"/>
      <x:c r="Z417" s="25"/>
    </x:row>
    <x:row r="418">
      <x:c r="A418" s="25"/>
      <x:c r="B418" s="25"/>
      <x:c r="C418" s="25"/>
      <x:c r="D418" s="25"/>
      <x:c r="E418" s="25"/>
      <x:c r="F418" s="25"/>
      <x:c r="G418" s="25"/>
      <x:c r="H418" s="25"/>
      <x:c r="I418" s="25"/>
      <x:c r="J418" s="25"/>
      <x:c r="K418" s="25"/>
      <x:c r="L418" s="25"/>
      <x:c r="M418" s="25"/>
      <x:c r="N418" s="25"/>
      <x:c r="O418" s="25"/>
      <x:c r="P418" s="25"/>
      <x:c r="Q418" s="25"/>
      <x:c r="R418" s="25"/>
      <x:c r="S418" s="25"/>
      <x:c r="T418" s="25"/>
      <x:c r="U418" s="25"/>
      <x:c r="V418" s="25"/>
      <x:c r="W418" s="25"/>
      <x:c r="X418" s="25"/>
      <x:c r="Y418" s="25"/>
      <x:c r="Z418" s="25"/>
    </x:row>
    <x:row r="419">
      <x:c r="A419" s="25"/>
      <x:c r="B419" s="25"/>
      <x:c r="C419" s="25"/>
      <x:c r="D419" s="25"/>
      <x:c r="E419" s="25"/>
      <x:c r="F419" s="25"/>
      <x:c r="G419" s="25"/>
      <x:c r="H419" s="25"/>
      <x:c r="I419" s="25"/>
      <x:c r="J419" s="25"/>
      <x:c r="K419" s="25"/>
      <x:c r="L419" s="25"/>
      <x:c r="M419" s="25"/>
      <x:c r="N419" s="25"/>
      <x:c r="O419" s="25"/>
      <x:c r="P419" s="25"/>
      <x:c r="Q419" s="25"/>
      <x:c r="R419" s="25"/>
      <x:c r="S419" s="25"/>
      <x:c r="T419" s="25"/>
      <x:c r="U419" s="25"/>
      <x:c r="V419" s="25"/>
      <x:c r="W419" s="25"/>
      <x:c r="X419" s="25"/>
      <x:c r="Y419" s="25"/>
      <x:c r="Z419" s="25"/>
    </x:row>
    <x:row r="420">
      <x:c r="A420" s="25"/>
      <x:c r="B420" s="25"/>
      <x:c r="C420" s="25"/>
      <x:c r="D420" s="25"/>
      <x:c r="E420" s="25"/>
      <x:c r="F420" s="25"/>
      <x:c r="G420" s="25"/>
      <x:c r="H420" s="25"/>
      <x:c r="I420" s="25"/>
      <x:c r="J420" s="25"/>
      <x:c r="K420" s="25"/>
      <x:c r="L420" s="25"/>
      <x:c r="M420" s="25"/>
      <x:c r="N420" s="25"/>
      <x:c r="O420" s="25"/>
      <x:c r="P420" s="25"/>
      <x:c r="Q420" s="25"/>
      <x:c r="R420" s="25"/>
      <x:c r="S420" s="25"/>
      <x:c r="T420" s="25"/>
      <x:c r="U420" s="25"/>
      <x:c r="V420" s="25"/>
      <x:c r="W420" s="25"/>
      <x:c r="X420" s="25"/>
      <x:c r="Y420" s="25"/>
      <x:c r="Z420" s="25"/>
    </x:row>
    <x:row r="421">
      <x:c r="A421" s="25"/>
      <x:c r="B421" s="25"/>
      <x:c r="C421" s="25"/>
      <x:c r="D421" s="25"/>
      <x:c r="E421" s="25"/>
      <x:c r="F421" s="25"/>
      <x:c r="G421" s="25"/>
      <x:c r="H421" s="25"/>
      <x:c r="I421" s="25"/>
      <x:c r="J421" s="25"/>
      <x:c r="K421" s="25"/>
      <x:c r="L421" s="25"/>
      <x:c r="M421" s="25"/>
      <x:c r="N421" s="25"/>
      <x:c r="O421" s="25"/>
      <x:c r="P421" s="25"/>
      <x:c r="Q421" s="25"/>
      <x:c r="R421" s="25"/>
      <x:c r="S421" s="25"/>
      <x:c r="T421" s="25"/>
      <x:c r="U421" s="25"/>
      <x:c r="V421" s="25"/>
      <x:c r="W421" s="25"/>
      <x:c r="X421" s="25"/>
      <x:c r="Y421" s="25"/>
      <x:c r="Z421" s="25"/>
    </x:row>
    <x:row r="422">
      <x:c r="A422" s="25"/>
      <x:c r="B422" s="25"/>
      <x:c r="C422" s="25"/>
      <x:c r="D422" s="25"/>
      <x:c r="E422" s="25"/>
      <x:c r="F422" s="25"/>
      <x:c r="G422" s="25"/>
      <x:c r="H422" s="25"/>
      <x:c r="I422" s="25"/>
      <x:c r="J422" s="25"/>
      <x:c r="K422" s="25"/>
      <x:c r="L422" s="25"/>
      <x:c r="M422" s="25"/>
      <x:c r="N422" s="25"/>
      <x:c r="O422" s="25"/>
      <x:c r="P422" s="25"/>
      <x:c r="Q422" s="25"/>
      <x:c r="R422" s="25"/>
      <x:c r="S422" s="25"/>
      <x:c r="T422" s="25"/>
      <x:c r="U422" s="25"/>
      <x:c r="V422" s="25"/>
      <x:c r="W422" s="25"/>
      <x:c r="X422" s="25"/>
      <x:c r="Y422" s="25"/>
      <x:c r="Z422" s="25"/>
    </x:row>
    <x:row r="423">
      <x:c r="A423" s="25"/>
      <x:c r="B423" s="25"/>
      <x:c r="C423" s="25"/>
      <x:c r="D423" s="25"/>
      <x:c r="E423" s="25"/>
      <x:c r="F423" s="25"/>
      <x:c r="G423" s="25"/>
      <x:c r="H423" s="25"/>
      <x:c r="I423" s="25"/>
      <x:c r="J423" s="25"/>
      <x:c r="K423" s="25"/>
      <x:c r="L423" s="25"/>
      <x:c r="M423" s="25"/>
      <x:c r="N423" s="25"/>
      <x:c r="O423" s="25"/>
      <x:c r="P423" s="25"/>
      <x:c r="Q423" s="25"/>
      <x:c r="R423" s="25"/>
      <x:c r="S423" s="25"/>
      <x:c r="T423" s="25"/>
      <x:c r="U423" s="25"/>
      <x:c r="V423" s="25"/>
      <x:c r="W423" s="25"/>
      <x:c r="X423" s="25"/>
      <x:c r="Y423" s="25"/>
      <x:c r="Z423" s="25"/>
    </x:row>
    <x:row r="424">
      <x:c r="A424" s="25"/>
      <x:c r="B424" s="25"/>
      <x:c r="C424" s="25"/>
      <x:c r="D424" s="25"/>
      <x:c r="E424" s="25"/>
      <x:c r="F424" s="25"/>
      <x:c r="G424" s="25"/>
      <x:c r="H424" s="25"/>
      <x:c r="I424" s="25"/>
      <x:c r="J424" s="25"/>
      <x:c r="K424" s="25"/>
      <x:c r="L424" s="25"/>
      <x:c r="M424" s="25"/>
      <x:c r="N424" s="25"/>
      <x:c r="O424" s="25"/>
      <x:c r="P424" s="25"/>
      <x:c r="Q424" s="25"/>
      <x:c r="R424" s="25"/>
      <x:c r="S424" s="25"/>
      <x:c r="T424" s="25"/>
      <x:c r="U424" s="25"/>
      <x:c r="V424" s="25"/>
      <x:c r="W424" s="25"/>
      <x:c r="X424" s="25"/>
      <x:c r="Y424" s="25"/>
      <x:c r="Z424" s="25"/>
    </x:row>
    <x:row r="425">
      <x:c r="A425" s="25"/>
      <x:c r="B425" s="25"/>
      <x:c r="C425" s="25"/>
      <x:c r="D425" s="25"/>
      <x:c r="E425" s="25"/>
      <x:c r="F425" s="25"/>
      <x:c r="G425" s="25"/>
      <x:c r="H425" s="25"/>
      <x:c r="I425" s="25"/>
      <x:c r="J425" s="25"/>
      <x:c r="K425" s="25"/>
      <x:c r="L425" s="25"/>
      <x:c r="M425" s="25"/>
      <x:c r="N425" s="25"/>
      <x:c r="O425" s="25"/>
      <x:c r="P425" s="25"/>
      <x:c r="Q425" s="25"/>
      <x:c r="R425" s="25"/>
      <x:c r="S425" s="25"/>
      <x:c r="T425" s="25"/>
      <x:c r="U425" s="25"/>
      <x:c r="V425" s="25"/>
      <x:c r="W425" s="25"/>
      <x:c r="X425" s="25"/>
      <x:c r="Y425" s="25"/>
      <x:c r="Z425" s="25"/>
    </x:row>
    <x:row r="426">
      <x:c r="A426" s="25"/>
      <x:c r="B426" s="25"/>
      <x:c r="C426" s="25"/>
      <x:c r="D426" s="25"/>
      <x:c r="E426" s="25"/>
      <x:c r="F426" s="25"/>
      <x:c r="G426" s="25"/>
      <x:c r="H426" s="25"/>
      <x:c r="I426" s="25"/>
      <x:c r="J426" s="25"/>
      <x:c r="K426" s="25"/>
      <x:c r="L426" s="25"/>
      <x:c r="M426" s="25"/>
      <x:c r="N426" s="25"/>
      <x:c r="O426" s="25"/>
      <x:c r="P426" s="25"/>
      <x:c r="Q426" s="25"/>
      <x:c r="R426" s="25"/>
      <x:c r="S426" s="25"/>
      <x:c r="T426" s="25"/>
      <x:c r="U426" s="25"/>
      <x:c r="V426" s="25"/>
      <x:c r="W426" s="25"/>
      <x:c r="X426" s="25"/>
      <x:c r="Y426" s="25"/>
      <x:c r="Z426" s="25"/>
    </x:row>
    <x:row r="427">
      <x:c r="A427" s="25"/>
      <x:c r="B427" s="25"/>
      <x:c r="C427" s="25"/>
      <x:c r="D427" s="25"/>
      <x:c r="E427" s="25"/>
      <x:c r="F427" s="25"/>
      <x:c r="G427" s="25"/>
      <x:c r="H427" s="25"/>
      <x:c r="I427" s="25"/>
      <x:c r="J427" s="25"/>
      <x:c r="K427" s="25"/>
      <x:c r="L427" s="25"/>
      <x:c r="M427" s="25"/>
      <x:c r="N427" s="25"/>
      <x:c r="O427" s="25"/>
      <x:c r="P427" s="25"/>
      <x:c r="Q427" s="25"/>
      <x:c r="R427" s="25"/>
      <x:c r="S427" s="25"/>
      <x:c r="T427" s="25"/>
      <x:c r="U427" s="25"/>
      <x:c r="V427" s="25"/>
      <x:c r="W427" s="25"/>
      <x:c r="X427" s="25"/>
      <x:c r="Y427" s="25"/>
      <x:c r="Z427" s="25"/>
    </x:row>
    <x:row r="428">
      <x:c r="A428" s="25"/>
      <x:c r="B428" s="25"/>
      <x:c r="C428" s="25"/>
      <x:c r="D428" s="25"/>
      <x:c r="E428" s="25"/>
      <x:c r="F428" s="25"/>
      <x:c r="G428" s="25"/>
      <x:c r="H428" s="25"/>
      <x:c r="I428" s="25"/>
      <x:c r="J428" s="25"/>
      <x:c r="K428" s="25"/>
      <x:c r="L428" s="25"/>
      <x:c r="M428" s="25"/>
      <x:c r="N428" s="25"/>
      <x:c r="O428" s="25"/>
      <x:c r="P428" s="25"/>
      <x:c r="Q428" s="25"/>
      <x:c r="R428" s="25"/>
      <x:c r="S428" s="25"/>
      <x:c r="T428" s="25"/>
      <x:c r="U428" s="25"/>
      <x:c r="V428" s="25"/>
      <x:c r="W428" s="25"/>
      <x:c r="X428" s="25"/>
      <x:c r="Y428" s="25"/>
      <x:c r="Z428" s="25"/>
    </x:row>
    <x:row r="429">
      <x:c r="A429" s="25"/>
      <x:c r="B429" s="25"/>
      <x:c r="C429" s="25"/>
      <x:c r="D429" s="25"/>
      <x:c r="E429" s="25"/>
      <x:c r="F429" s="25"/>
      <x:c r="G429" s="25"/>
      <x:c r="H429" s="25"/>
      <x:c r="I429" s="25"/>
      <x:c r="J429" s="25"/>
      <x:c r="K429" s="25"/>
      <x:c r="L429" s="25"/>
      <x:c r="M429" s="25"/>
      <x:c r="N429" s="25"/>
      <x:c r="O429" s="25"/>
      <x:c r="P429" s="25"/>
      <x:c r="Q429" s="25"/>
      <x:c r="R429" s="25"/>
      <x:c r="S429" s="25"/>
      <x:c r="T429" s="25"/>
      <x:c r="U429" s="25"/>
      <x:c r="V429" s="25"/>
      <x:c r="W429" s="25"/>
      <x:c r="X429" s="25"/>
      <x:c r="Y429" s="25"/>
      <x:c r="Z429" s="25"/>
    </x:row>
    <x:row r="430">
      <x:c r="A430" s="25"/>
      <x:c r="B430" s="25"/>
      <x:c r="C430" s="25"/>
      <x:c r="D430" s="25"/>
      <x:c r="E430" s="25"/>
      <x:c r="F430" s="25"/>
      <x:c r="G430" s="25"/>
      <x:c r="H430" s="25"/>
      <x:c r="I430" s="25"/>
      <x:c r="J430" s="25"/>
      <x:c r="K430" s="25"/>
      <x:c r="L430" s="25"/>
      <x:c r="M430" s="25"/>
      <x:c r="N430" s="25"/>
      <x:c r="O430" s="25"/>
      <x:c r="P430" s="25"/>
      <x:c r="Q430" s="25"/>
      <x:c r="R430" s="25"/>
      <x:c r="S430" s="25"/>
      <x:c r="T430" s="25"/>
      <x:c r="U430" s="25"/>
      <x:c r="V430" s="25"/>
      <x:c r="W430" s="25"/>
      <x:c r="X430" s="25"/>
      <x:c r="Y430" s="25"/>
      <x:c r="Z430" s="25"/>
    </x:row>
    <x:row r="431">
      <x:c r="A431" s="25"/>
      <x:c r="B431" s="25"/>
      <x:c r="C431" s="25"/>
      <x:c r="D431" s="25"/>
      <x:c r="E431" s="25"/>
      <x:c r="F431" s="25"/>
      <x:c r="G431" s="25"/>
      <x:c r="H431" s="25"/>
      <x:c r="I431" s="25"/>
      <x:c r="J431" s="25"/>
      <x:c r="K431" s="25"/>
      <x:c r="L431" s="25"/>
      <x:c r="M431" s="25"/>
      <x:c r="N431" s="25"/>
      <x:c r="O431" s="25"/>
      <x:c r="P431" s="25"/>
      <x:c r="Q431" s="25"/>
      <x:c r="R431" s="25"/>
      <x:c r="S431" s="25"/>
      <x:c r="T431" s="25"/>
      <x:c r="U431" s="25"/>
      <x:c r="V431" s="25"/>
      <x:c r="W431" s="25"/>
      <x:c r="X431" s="25"/>
      <x:c r="Y431" s="25"/>
      <x:c r="Z431" s="25"/>
    </x:row>
    <x:row r="432">
      <x:c r="A432" s="25"/>
      <x:c r="B432" s="25"/>
      <x:c r="C432" s="25"/>
      <x:c r="D432" s="25"/>
      <x:c r="E432" s="25"/>
      <x:c r="F432" s="25"/>
      <x:c r="G432" s="25"/>
      <x:c r="H432" s="25"/>
      <x:c r="I432" s="25"/>
      <x:c r="J432" s="25"/>
      <x:c r="K432" s="25"/>
      <x:c r="L432" s="25"/>
      <x:c r="M432" s="25"/>
      <x:c r="N432" s="25"/>
      <x:c r="O432" s="25"/>
      <x:c r="P432" s="25"/>
      <x:c r="Q432" s="25"/>
      <x:c r="R432" s="25"/>
      <x:c r="S432" s="25"/>
      <x:c r="T432" s="25"/>
      <x:c r="U432" s="25"/>
      <x:c r="V432" s="25"/>
      <x:c r="W432" s="25"/>
      <x:c r="X432" s="25"/>
      <x:c r="Y432" s="25"/>
      <x:c r="Z432" s="25"/>
    </x:row>
    <x:row r="433">
      <x:c r="A433" s="25"/>
      <x:c r="B433" s="25"/>
      <x:c r="C433" s="25"/>
      <x:c r="D433" s="25"/>
      <x:c r="E433" s="25"/>
      <x:c r="F433" s="25"/>
      <x:c r="G433" s="25"/>
      <x:c r="H433" s="25"/>
      <x:c r="I433" s="25"/>
      <x:c r="J433" s="25"/>
      <x:c r="K433" s="25"/>
      <x:c r="L433" s="25"/>
      <x:c r="M433" s="25"/>
      <x:c r="N433" s="25"/>
      <x:c r="O433" s="25"/>
      <x:c r="P433" s="25"/>
      <x:c r="Q433" s="25"/>
      <x:c r="R433" s="25"/>
      <x:c r="S433" s="25"/>
      <x:c r="T433" s="25"/>
      <x:c r="U433" s="25"/>
      <x:c r="V433" s="25"/>
      <x:c r="W433" s="25"/>
      <x:c r="X433" s="25"/>
      <x:c r="Y433" s="25"/>
      <x:c r="Z433" s="25"/>
    </x:row>
    <x:row r="434">
      <x:c r="A434" s="25"/>
      <x:c r="B434" s="25"/>
      <x:c r="C434" s="25"/>
      <x:c r="D434" s="25"/>
      <x:c r="E434" s="25"/>
      <x:c r="F434" s="25"/>
      <x:c r="G434" s="25"/>
      <x:c r="H434" s="25"/>
      <x:c r="I434" s="25"/>
      <x:c r="J434" s="25"/>
      <x:c r="K434" s="25"/>
      <x:c r="L434" s="25"/>
      <x:c r="M434" s="25"/>
      <x:c r="N434" s="25"/>
      <x:c r="O434" s="25"/>
      <x:c r="P434" s="25"/>
      <x:c r="Q434" s="25"/>
      <x:c r="R434" s="25"/>
      <x:c r="S434" s="25"/>
      <x:c r="T434" s="25"/>
      <x:c r="U434" s="25"/>
      <x:c r="V434" s="25"/>
      <x:c r="W434" s="25"/>
      <x:c r="X434" s="25"/>
      <x:c r="Y434" s="25"/>
      <x:c r="Z434" s="25"/>
    </x:row>
    <x:row r="435">
      <x:c r="A435" s="25"/>
      <x:c r="B435" s="25"/>
      <x:c r="C435" s="25"/>
      <x:c r="D435" s="25"/>
      <x:c r="E435" s="25"/>
      <x:c r="F435" s="25"/>
      <x:c r="G435" s="25"/>
      <x:c r="H435" s="25"/>
      <x:c r="I435" s="25"/>
      <x:c r="J435" s="25"/>
      <x:c r="K435" s="25"/>
      <x:c r="L435" s="25"/>
      <x:c r="M435" s="25"/>
      <x:c r="N435" s="25"/>
      <x:c r="O435" s="25"/>
      <x:c r="P435" s="25"/>
      <x:c r="Q435" s="25"/>
      <x:c r="R435" s="25"/>
      <x:c r="S435" s="25"/>
      <x:c r="T435" s="25"/>
      <x:c r="U435" s="25"/>
      <x:c r="V435" s="25"/>
      <x:c r="W435" s="25"/>
      <x:c r="X435" s="25"/>
      <x:c r="Y435" s="25"/>
      <x:c r="Z435" s="25"/>
    </x:row>
    <x:row r="436">
      <x:c r="A436" s="25"/>
      <x:c r="B436" s="25"/>
      <x:c r="C436" s="25"/>
      <x:c r="D436" s="25"/>
      <x:c r="E436" s="25"/>
      <x:c r="F436" s="25"/>
      <x:c r="G436" s="25"/>
      <x:c r="H436" s="25"/>
      <x:c r="I436" s="25"/>
      <x:c r="J436" s="25"/>
      <x:c r="K436" s="25"/>
      <x:c r="L436" s="25"/>
      <x:c r="M436" s="25"/>
      <x:c r="N436" s="25"/>
      <x:c r="O436" s="25"/>
      <x:c r="P436" s="25"/>
      <x:c r="Q436" s="25"/>
      <x:c r="R436" s="25"/>
      <x:c r="S436" s="25"/>
      <x:c r="T436" s="25"/>
      <x:c r="U436" s="25"/>
      <x:c r="V436" s="25"/>
      <x:c r="W436" s="25"/>
      <x:c r="X436" s="25"/>
      <x:c r="Y436" s="25"/>
      <x:c r="Z436" s="25"/>
    </x:row>
    <x:row r="437">
      <x:c r="A437" s="25"/>
      <x:c r="B437" s="25"/>
      <x:c r="C437" s="25"/>
      <x:c r="D437" s="25"/>
      <x:c r="E437" s="25"/>
      <x:c r="F437" s="25"/>
      <x:c r="G437" s="25"/>
      <x:c r="H437" s="25"/>
      <x:c r="I437" s="25"/>
      <x:c r="J437" s="25"/>
      <x:c r="K437" s="25"/>
      <x:c r="L437" s="25"/>
      <x:c r="M437" s="25"/>
      <x:c r="N437" s="25"/>
      <x:c r="O437" s="25"/>
      <x:c r="P437" s="25"/>
      <x:c r="Q437" s="25"/>
      <x:c r="R437" s="25"/>
      <x:c r="S437" s="25"/>
      <x:c r="T437" s="25"/>
      <x:c r="U437" s="25"/>
      <x:c r="V437" s="25"/>
      <x:c r="W437" s="25"/>
      <x:c r="X437" s="25"/>
      <x:c r="Y437" s="25"/>
      <x:c r="Z437" s="25"/>
    </x:row>
    <x:row r="438">
      <x:c r="A438" s="25"/>
      <x:c r="B438" s="25"/>
      <x:c r="C438" s="25"/>
      <x:c r="D438" s="25"/>
      <x:c r="E438" s="25"/>
      <x:c r="F438" s="25"/>
      <x:c r="G438" s="25"/>
      <x:c r="H438" s="25"/>
      <x:c r="I438" s="25"/>
      <x:c r="J438" s="25"/>
      <x:c r="K438" s="25"/>
      <x:c r="L438" s="25"/>
      <x:c r="M438" s="25"/>
      <x:c r="N438" s="25"/>
      <x:c r="O438" s="25"/>
      <x:c r="P438" s="25"/>
      <x:c r="Q438" s="25"/>
      <x:c r="R438" s="25"/>
      <x:c r="S438" s="25"/>
      <x:c r="T438" s="25"/>
      <x:c r="U438" s="25"/>
      <x:c r="V438" s="25"/>
      <x:c r="W438" s="25"/>
      <x:c r="X438" s="25"/>
      <x:c r="Y438" s="25"/>
      <x:c r="Z438" s="25"/>
    </x:row>
    <x:row r="439">
      <x:c r="A439" s="25"/>
      <x:c r="B439" s="25"/>
      <x:c r="C439" s="25"/>
      <x:c r="D439" s="25"/>
      <x:c r="E439" s="25"/>
      <x:c r="F439" s="25"/>
      <x:c r="G439" s="25"/>
      <x:c r="H439" s="25"/>
      <x:c r="I439" s="25"/>
      <x:c r="J439" s="25"/>
      <x:c r="K439" s="25"/>
      <x:c r="L439" s="25"/>
      <x:c r="M439" s="25"/>
      <x:c r="N439" s="25"/>
      <x:c r="O439" s="25"/>
      <x:c r="P439" s="25"/>
      <x:c r="Q439" s="25"/>
      <x:c r="R439" s="25"/>
      <x:c r="S439" s="25"/>
      <x:c r="T439" s="25"/>
      <x:c r="U439" s="25"/>
      <x:c r="V439" s="25"/>
      <x:c r="W439" s="25"/>
      <x:c r="X439" s="25"/>
      <x:c r="Y439" s="25"/>
      <x:c r="Z439" s="25"/>
    </x:row>
    <x:row r="440">
      <x:c r="A440" s="25"/>
      <x:c r="B440" s="25"/>
      <x:c r="C440" s="25"/>
      <x:c r="D440" s="25"/>
      <x:c r="E440" s="25"/>
      <x:c r="F440" s="25"/>
      <x:c r="G440" s="25"/>
      <x:c r="H440" s="25"/>
      <x:c r="I440" s="25"/>
      <x:c r="J440" s="25"/>
      <x:c r="K440" s="25"/>
      <x:c r="L440" s="25"/>
      <x:c r="M440" s="25"/>
      <x:c r="N440" s="25"/>
      <x:c r="O440" s="25"/>
      <x:c r="P440" s="25"/>
      <x:c r="Q440" s="25"/>
      <x:c r="R440" s="25"/>
      <x:c r="S440" s="25"/>
      <x:c r="T440" s="25"/>
      <x:c r="U440" s="25"/>
      <x:c r="V440" s="25"/>
      <x:c r="W440" s="25"/>
      <x:c r="X440" s="25"/>
      <x:c r="Y440" s="25"/>
      <x:c r="Z440" s="25"/>
    </x:row>
    <x:row r="441">
      <x:c r="A441" s="25"/>
      <x:c r="B441" s="25"/>
      <x:c r="C441" s="25"/>
      <x:c r="D441" s="25"/>
      <x:c r="E441" s="25"/>
      <x:c r="F441" s="25"/>
      <x:c r="G441" s="25"/>
      <x:c r="H441" s="25"/>
      <x:c r="I441" s="25"/>
      <x:c r="J441" s="25"/>
      <x:c r="K441" s="25"/>
      <x:c r="L441" s="25"/>
      <x:c r="M441" s="25"/>
      <x:c r="N441" s="25"/>
      <x:c r="O441" s="25"/>
      <x:c r="P441" s="25"/>
      <x:c r="Q441" s="25"/>
      <x:c r="R441" s="25"/>
      <x:c r="S441" s="25"/>
      <x:c r="T441" s="25"/>
      <x:c r="U441" s="25"/>
      <x:c r="V441" s="25"/>
      <x:c r="W441" s="25"/>
      <x:c r="X441" s="25"/>
      <x:c r="Y441" s="25"/>
      <x:c r="Z441" s="25"/>
    </x:row>
    <x:row r="442">
      <x:c r="A442" s="25"/>
      <x:c r="B442" s="25"/>
      <x:c r="C442" s="25"/>
      <x:c r="D442" s="25"/>
      <x:c r="E442" s="25"/>
      <x:c r="F442" s="25"/>
      <x:c r="G442" s="25"/>
      <x:c r="H442" s="25"/>
      <x:c r="I442" s="25"/>
      <x:c r="J442" s="25"/>
      <x:c r="K442" s="25"/>
      <x:c r="L442" s="25"/>
      <x:c r="M442" s="25"/>
      <x:c r="N442" s="25"/>
      <x:c r="O442" s="25"/>
      <x:c r="P442" s="25"/>
      <x:c r="Q442" s="25"/>
      <x:c r="R442" s="25"/>
      <x:c r="S442" s="25"/>
      <x:c r="T442" s="25"/>
      <x:c r="U442" s="25"/>
      <x:c r="V442" s="25"/>
      <x:c r="W442" s="25"/>
      <x:c r="X442" s="25"/>
      <x:c r="Y442" s="25"/>
      <x:c r="Z442" s="25"/>
    </x:row>
    <x:row r="443">
      <x:c r="A443" s="25"/>
      <x:c r="B443" s="25"/>
      <x:c r="C443" s="25"/>
      <x:c r="D443" s="25"/>
      <x:c r="E443" s="25"/>
      <x:c r="F443" s="25"/>
      <x:c r="G443" s="25"/>
      <x:c r="H443" s="25"/>
      <x:c r="I443" s="25"/>
      <x:c r="J443" s="25"/>
      <x:c r="K443" s="25"/>
      <x:c r="L443" s="25"/>
      <x:c r="M443" s="25"/>
      <x:c r="N443" s="25"/>
      <x:c r="O443" s="25"/>
      <x:c r="P443" s="25"/>
      <x:c r="Q443" s="25"/>
      <x:c r="R443" s="25"/>
      <x:c r="S443" s="25"/>
      <x:c r="T443" s="25"/>
      <x:c r="U443" s="25"/>
      <x:c r="V443" s="25"/>
      <x:c r="W443" s="25"/>
      <x:c r="X443" s="25"/>
      <x:c r="Y443" s="25"/>
      <x:c r="Z443" s="25"/>
    </x:row>
    <x:row r="444">
      <x:c r="A444" s="25"/>
      <x:c r="B444" s="25"/>
      <x:c r="C444" s="25"/>
      <x:c r="D444" s="25"/>
      <x:c r="E444" s="25"/>
      <x:c r="F444" s="25"/>
      <x:c r="G444" s="25"/>
      <x:c r="H444" s="25"/>
      <x:c r="I444" s="25"/>
      <x:c r="J444" s="25"/>
      <x:c r="K444" s="25"/>
      <x:c r="L444" s="25"/>
      <x:c r="M444" s="25"/>
      <x:c r="N444" s="25"/>
      <x:c r="O444" s="25"/>
      <x:c r="P444" s="25"/>
      <x:c r="Q444" s="25"/>
      <x:c r="R444" s="25"/>
      <x:c r="S444" s="25"/>
      <x:c r="T444" s="25"/>
      <x:c r="U444" s="25"/>
      <x:c r="V444" s="25"/>
      <x:c r="W444" s="25"/>
      <x:c r="X444" s="25"/>
      <x:c r="Y444" s="25"/>
      <x:c r="Z444" s="25"/>
    </x:row>
    <x:row r="445">
      <x:c r="A445" s="25"/>
      <x:c r="B445" s="25"/>
      <x:c r="C445" s="25"/>
      <x:c r="D445" s="25"/>
      <x:c r="E445" s="25"/>
      <x:c r="F445" s="25"/>
      <x:c r="G445" s="25"/>
      <x:c r="H445" s="25"/>
      <x:c r="I445" s="25"/>
      <x:c r="J445" s="25"/>
      <x:c r="K445" s="25"/>
      <x:c r="L445" s="25"/>
      <x:c r="M445" s="25"/>
      <x:c r="N445" s="25"/>
      <x:c r="O445" s="25"/>
      <x:c r="P445" s="25"/>
      <x:c r="Q445" s="25"/>
      <x:c r="R445" s="25"/>
      <x:c r="S445" s="25"/>
      <x:c r="T445" s="25"/>
      <x:c r="U445" s="25"/>
      <x:c r="V445" s="25"/>
      <x:c r="W445" s="25"/>
      <x:c r="X445" s="25"/>
      <x:c r="Y445" s="25"/>
      <x:c r="Z445" s="25"/>
    </x:row>
    <x:row r="446">
      <x:c r="A446" s="25"/>
      <x:c r="B446" s="25"/>
      <x:c r="C446" s="25"/>
      <x:c r="D446" s="25"/>
      <x:c r="E446" s="25"/>
      <x:c r="F446" s="25"/>
      <x:c r="G446" s="25"/>
      <x:c r="H446" s="25"/>
      <x:c r="I446" s="25"/>
      <x:c r="J446" s="25"/>
      <x:c r="K446" s="25"/>
      <x:c r="L446" s="25"/>
      <x:c r="M446" s="25"/>
      <x:c r="N446" s="25"/>
      <x:c r="O446" s="25"/>
      <x:c r="P446" s="25"/>
      <x:c r="Q446" s="25"/>
      <x:c r="R446" s="25"/>
      <x:c r="S446" s="25"/>
      <x:c r="T446" s="25"/>
      <x:c r="U446" s="25"/>
      <x:c r="V446" s="25"/>
      <x:c r="W446" s="25"/>
      <x:c r="X446" s="25"/>
      <x:c r="Y446" s="25"/>
      <x:c r="Z446" s="25"/>
    </x:row>
    <x:row r="447">
      <x:c r="A447" s="25"/>
      <x:c r="B447" s="25"/>
      <x:c r="C447" s="25"/>
      <x:c r="D447" s="25"/>
      <x:c r="E447" s="25"/>
      <x:c r="F447" s="25"/>
      <x:c r="G447" s="25"/>
      <x:c r="H447" s="25"/>
      <x:c r="I447" s="25"/>
      <x:c r="J447" s="25"/>
      <x:c r="K447" s="25"/>
      <x:c r="L447" s="25"/>
      <x:c r="M447" s="25"/>
      <x:c r="N447" s="25"/>
      <x:c r="O447" s="25"/>
      <x:c r="P447" s="25"/>
      <x:c r="Q447" s="25"/>
      <x:c r="R447" s="25"/>
      <x:c r="S447" s="25"/>
      <x:c r="T447" s="25"/>
      <x:c r="U447" s="25"/>
      <x:c r="V447" s="25"/>
      <x:c r="W447" s="25"/>
      <x:c r="X447" s="25"/>
      <x:c r="Y447" s="25"/>
      <x:c r="Z447" s="25"/>
    </x:row>
    <x:row r="448">
      <x:c r="A448" s="25"/>
      <x:c r="B448" s="25"/>
      <x:c r="C448" s="25"/>
      <x:c r="D448" s="25"/>
      <x:c r="E448" s="25"/>
      <x:c r="F448" s="25"/>
      <x:c r="G448" s="25"/>
      <x:c r="H448" s="25"/>
      <x:c r="I448" s="25"/>
      <x:c r="J448" s="25"/>
      <x:c r="K448" s="25"/>
      <x:c r="L448" s="25"/>
      <x:c r="M448" s="25"/>
      <x:c r="N448" s="25"/>
      <x:c r="O448" s="25"/>
      <x:c r="P448" s="25"/>
      <x:c r="Q448" s="25"/>
      <x:c r="R448" s="25"/>
      <x:c r="S448" s="25"/>
      <x:c r="T448" s="25"/>
      <x:c r="U448" s="25"/>
      <x:c r="V448" s="25"/>
      <x:c r="W448" s="25"/>
      <x:c r="X448" s="25"/>
      <x:c r="Y448" s="25"/>
      <x:c r="Z448" s="25"/>
    </x:row>
    <x:row r="449">
      <x:c r="A449" s="25"/>
      <x:c r="B449" s="25"/>
      <x:c r="C449" s="25"/>
      <x:c r="D449" s="25"/>
      <x:c r="E449" s="25"/>
      <x:c r="F449" s="25"/>
      <x:c r="G449" s="25"/>
      <x:c r="H449" s="25"/>
      <x:c r="I449" s="25"/>
      <x:c r="J449" s="25"/>
      <x:c r="K449" s="25"/>
      <x:c r="L449" s="25"/>
      <x:c r="M449" s="25"/>
      <x:c r="N449" s="25"/>
      <x:c r="O449" s="25"/>
      <x:c r="P449" s="25"/>
      <x:c r="Q449" s="25"/>
      <x:c r="R449" s="25"/>
      <x:c r="S449" s="25"/>
      <x:c r="T449" s="25"/>
      <x:c r="U449" s="25"/>
      <x:c r="V449" s="25"/>
      <x:c r="W449" s="25"/>
      <x:c r="X449" s="25"/>
      <x:c r="Y449" s="25"/>
      <x:c r="Z449" s="25"/>
    </x:row>
    <x:row r="450">
      <x:c r="A450" s="25"/>
      <x:c r="B450" s="25"/>
      <x:c r="C450" s="25"/>
      <x:c r="D450" s="25"/>
      <x:c r="E450" s="25"/>
      <x:c r="F450" s="25"/>
      <x:c r="G450" s="25"/>
      <x:c r="H450" s="25"/>
      <x:c r="I450" s="25"/>
      <x:c r="J450" s="25"/>
      <x:c r="K450" s="25"/>
      <x:c r="L450" s="25"/>
      <x:c r="M450" s="25"/>
      <x:c r="N450" s="25"/>
      <x:c r="O450" s="25"/>
      <x:c r="P450" s="25"/>
      <x:c r="Q450" s="25"/>
      <x:c r="R450" s="25"/>
      <x:c r="S450" s="25"/>
      <x:c r="T450" s="25"/>
      <x:c r="U450" s="25"/>
      <x:c r="V450" s="25"/>
      <x:c r="W450" s="25"/>
      <x:c r="X450" s="25"/>
      <x:c r="Y450" s="25"/>
      <x:c r="Z450" s="25"/>
    </x:row>
    <x:row r="451">
      <x:c r="A451" s="25"/>
      <x:c r="B451" s="25"/>
      <x:c r="C451" s="25"/>
      <x:c r="D451" s="25"/>
      <x:c r="E451" s="25"/>
      <x:c r="F451" s="25"/>
      <x:c r="G451" s="25"/>
      <x:c r="H451" s="25"/>
      <x:c r="I451" s="25"/>
      <x:c r="J451" s="25"/>
      <x:c r="K451" s="25"/>
      <x:c r="L451" s="25"/>
      <x:c r="M451" s="25"/>
      <x:c r="N451" s="25"/>
      <x:c r="O451" s="25"/>
      <x:c r="P451" s="25"/>
      <x:c r="Q451" s="25"/>
      <x:c r="R451" s="25"/>
      <x:c r="S451" s="25"/>
      <x:c r="T451" s="25"/>
      <x:c r="U451" s="25"/>
      <x:c r="V451" s="25"/>
      <x:c r="W451" s="25"/>
      <x:c r="X451" s="25"/>
      <x:c r="Y451" s="25"/>
      <x:c r="Z451" s="25"/>
    </x:row>
    <x:row r="452">
      <x:c r="A452" s="25"/>
      <x:c r="B452" s="25"/>
      <x:c r="C452" s="25"/>
      <x:c r="D452" s="25"/>
      <x:c r="E452" s="25"/>
      <x:c r="F452" s="25"/>
      <x:c r="G452" s="25"/>
      <x:c r="H452" s="25"/>
      <x:c r="I452" s="25"/>
      <x:c r="J452" s="25"/>
      <x:c r="K452" s="25"/>
      <x:c r="L452" s="25"/>
      <x:c r="M452" s="25"/>
      <x:c r="N452" s="25"/>
      <x:c r="O452" s="25"/>
      <x:c r="P452" s="25"/>
      <x:c r="Q452" s="25"/>
      <x:c r="R452" s="25"/>
      <x:c r="S452" s="25"/>
      <x:c r="T452" s="25"/>
      <x:c r="U452" s="25"/>
      <x:c r="V452" s="25"/>
      <x:c r="W452" s="25"/>
      <x:c r="X452" s="25"/>
      <x:c r="Y452" s="25"/>
      <x:c r="Z452" s="25"/>
    </x:row>
    <x:row r="453">
      <x:c r="A453" s="25"/>
      <x:c r="B453" s="25"/>
      <x:c r="C453" s="25"/>
      <x:c r="D453" s="25"/>
      <x:c r="E453" s="25"/>
      <x:c r="F453" s="25"/>
      <x:c r="G453" s="25"/>
      <x:c r="H453" s="25"/>
      <x:c r="I453" s="25"/>
      <x:c r="J453" s="25"/>
      <x:c r="K453" s="25"/>
      <x:c r="L453" s="25"/>
      <x:c r="M453" s="25"/>
      <x:c r="N453" s="25"/>
      <x:c r="O453" s="25"/>
      <x:c r="P453" s="25"/>
      <x:c r="Q453" s="25"/>
      <x:c r="R453" s="25"/>
      <x:c r="S453" s="25"/>
      <x:c r="T453" s="25"/>
      <x:c r="U453" s="25"/>
      <x:c r="V453" s="25"/>
      <x:c r="W453" s="25"/>
      <x:c r="X453" s="25"/>
      <x:c r="Y453" s="25"/>
      <x:c r="Z453" s="25"/>
    </x:row>
    <x:row r="454">
      <x:c r="A454" s="25"/>
      <x:c r="B454" s="25"/>
      <x:c r="C454" s="25"/>
      <x:c r="D454" s="25"/>
      <x:c r="E454" s="25"/>
      <x:c r="F454" s="25"/>
      <x:c r="G454" s="25"/>
      <x:c r="H454" s="25"/>
      <x:c r="I454" s="25"/>
      <x:c r="J454" s="25"/>
      <x:c r="K454" s="25"/>
      <x:c r="L454" s="25"/>
      <x:c r="M454" s="25"/>
      <x:c r="N454" s="25"/>
      <x:c r="O454" s="25"/>
      <x:c r="P454" s="25"/>
      <x:c r="Q454" s="25"/>
      <x:c r="R454" s="25"/>
      <x:c r="S454" s="25"/>
      <x:c r="T454" s="25"/>
      <x:c r="U454" s="25"/>
      <x:c r="V454" s="25"/>
      <x:c r="W454" s="25"/>
      <x:c r="X454" s="25"/>
      <x:c r="Y454" s="25"/>
      <x:c r="Z454" s="25"/>
    </x:row>
    <x:row r="455">
      <x:c r="A455" s="25"/>
      <x:c r="B455" s="25"/>
      <x:c r="C455" s="25"/>
      <x:c r="D455" s="25"/>
      <x:c r="E455" s="25"/>
      <x:c r="F455" s="25"/>
      <x:c r="G455" s="25"/>
      <x:c r="H455" s="25"/>
      <x:c r="I455" s="25"/>
      <x:c r="J455" s="25"/>
      <x:c r="K455" s="25"/>
      <x:c r="L455" s="25"/>
      <x:c r="M455" s="25"/>
      <x:c r="N455" s="25"/>
      <x:c r="O455" s="25"/>
      <x:c r="P455" s="25"/>
      <x:c r="Q455" s="25"/>
      <x:c r="R455" s="25"/>
      <x:c r="S455" s="25"/>
      <x:c r="T455" s="25"/>
      <x:c r="U455" s="25"/>
      <x:c r="V455" s="25"/>
      <x:c r="W455" s="25"/>
      <x:c r="X455" s="25"/>
      <x:c r="Y455" s="25"/>
      <x:c r="Z455" s="25"/>
    </x:row>
    <x:row r="456">
      <x:c r="A456" s="25"/>
      <x:c r="B456" s="25"/>
      <x:c r="C456" s="25"/>
      <x:c r="D456" s="25"/>
      <x:c r="E456" s="25"/>
      <x:c r="F456" s="25"/>
      <x:c r="G456" s="25"/>
      <x:c r="H456" s="25"/>
      <x:c r="I456" s="25"/>
      <x:c r="J456" s="25"/>
      <x:c r="K456" s="25"/>
      <x:c r="L456" s="25"/>
      <x:c r="M456" s="25"/>
      <x:c r="N456" s="25"/>
      <x:c r="O456" s="25"/>
      <x:c r="P456" s="25"/>
      <x:c r="Q456" s="25"/>
      <x:c r="R456" s="25"/>
      <x:c r="S456" s="25"/>
      <x:c r="T456" s="25"/>
      <x:c r="U456" s="25"/>
      <x:c r="V456" s="25"/>
      <x:c r="W456" s="25"/>
      <x:c r="X456" s="25"/>
      <x:c r="Y456" s="25"/>
      <x:c r="Z456" s="25"/>
    </x:row>
    <x:row r="457">
      <x:c r="A457" s="25"/>
      <x:c r="B457" s="25"/>
      <x:c r="C457" s="25"/>
      <x:c r="D457" s="25"/>
      <x:c r="E457" s="25"/>
      <x:c r="F457" s="25"/>
      <x:c r="G457" s="25"/>
      <x:c r="H457" s="25"/>
      <x:c r="I457" s="25"/>
      <x:c r="J457" s="25"/>
      <x:c r="K457" s="25"/>
      <x:c r="L457" s="25"/>
      <x:c r="M457" s="25"/>
      <x:c r="N457" s="25"/>
      <x:c r="O457" s="25"/>
      <x:c r="P457" s="25"/>
      <x:c r="Q457" s="25"/>
      <x:c r="R457" s="25"/>
      <x:c r="S457" s="25"/>
      <x:c r="T457" s="25"/>
      <x:c r="U457" s="25"/>
      <x:c r="V457" s="25"/>
      <x:c r="W457" s="25"/>
      <x:c r="X457" s="25"/>
      <x:c r="Y457" s="25"/>
      <x:c r="Z457" s="25"/>
    </x:row>
    <x:row r="458">
      <x:c r="A458" s="25"/>
      <x:c r="B458" s="25"/>
      <x:c r="C458" s="25"/>
      <x:c r="D458" s="25"/>
      <x:c r="E458" s="25"/>
      <x:c r="F458" s="25"/>
      <x:c r="G458" s="25"/>
      <x:c r="H458" s="25"/>
      <x:c r="I458" s="25"/>
      <x:c r="J458" s="25"/>
      <x:c r="K458" s="25"/>
      <x:c r="L458" s="25"/>
      <x:c r="M458" s="25"/>
      <x:c r="N458" s="25"/>
      <x:c r="O458" s="25"/>
      <x:c r="P458" s="25"/>
      <x:c r="Q458" s="25"/>
      <x:c r="R458" s="25"/>
      <x:c r="S458" s="25"/>
      <x:c r="T458" s="25"/>
      <x:c r="U458" s="25"/>
      <x:c r="V458" s="25"/>
      <x:c r="W458" s="25"/>
      <x:c r="X458" s="25"/>
      <x:c r="Y458" s="25"/>
      <x:c r="Z458" s="25"/>
    </x:row>
    <x:row r="459">
      <x:c r="A459" s="25"/>
      <x:c r="B459" s="25"/>
      <x:c r="C459" s="25"/>
      <x:c r="D459" s="25"/>
      <x:c r="E459" s="25"/>
      <x:c r="F459" s="25"/>
      <x:c r="G459" s="25"/>
      <x:c r="H459" s="25"/>
      <x:c r="I459" s="25"/>
      <x:c r="J459" s="25"/>
      <x:c r="K459" s="25"/>
      <x:c r="L459" s="25"/>
      <x:c r="M459" s="25"/>
      <x:c r="N459" s="25"/>
      <x:c r="O459" s="25"/>
      <x:c r="P459" s="25"/>
      <x:c r="Q459" s="25"/>
      <x:c r="R459" s="25"/>
      <x:c r="S459" s="25"/>
      <x:c r="T459" s="25"/>
      <x:c r="U459" s="25"/>
      <x:c r="V459" s="25"/>
      <x:c r="W459" s="25"/>
      <x:c r="X459" s="25"/>
      <x:c r="Y459" s="25"/>
      <x:c r="Z459" s="25"/>
    </x:row>
    <x:row r="460">
      <x:c r="A460" s="25"/>
      <x:c r="B460" s="25"/>
      <x:c r="C460" s="25"/>
      <x:c r="D460" s="25"/>
      <x:c r="E460" s="25"/>
      <x:c r="F460" s="25"/>
      <x:c r="G460" s="25"/>
      <x:c r="H460" s="25"/>
      <x:c r="I460" s="25"/>
      <x:c r="J460" s="25"/>
      <x:c r="K460" s="25"/>
      <x:c r="L460" s="25"/>
      <x:c r="M460" s="25"/>
      <x:c r="N460" s="25"/>
      <x:c r="O460" s="25"/>
      <x:c r="P460" s="25"/>
      <x:c r="Q460" s="25"/>
      <x:c r="R460" s="25"/>
      <x:c r="S460" s="25"/>
      <x:c r="T460" s="25"/>
      <x:c r="U460" s="25"/>
      <x:c r="V460" s="25"/>
      <x:c r="W460" s="25"/>
      <x:c r="X460" s="25"/>
      <x:c r="Y460" s="25"/>
      <x:c r="Z460" s="25"/>
    </x:row>
    <x:row r="461">
      <x:c r="A461" s="25"/>
      <x:c r="B461" s="25"/>
      <x:c r="C461" s="25"/>
      <x:c r="D461" s="25"/>
      <x:c r="E461" s="25"/>
      <x:c r="F461" s="25"/>
      <x:c r="G461" s="25"/>
      <x:c r="H461" s="25"/>
      <x:c r="I461" s="25"/>
      <x:c r="J461" s="25"/>
      <x:c r="K461" s="25"/>
      <x:c r="L461" s="25"/>
      <x:c r="M461" s="25"/>
      <x:c r="N461" s="25"/>
      <x:c r="O461" s="25"/>
      <x:c r="P461" s="25"/>
      <x:c r="Q461" s="25"/>
      <x:c r="R461" s="25"/>
      <x:c r="S461" s="25"/>
      <x:c r="T461" s="25"/>
      <x:c r="U461" s="25"/>
      <x:c r="V461" s="25"/>
      <x:c r="W461" s="25"/>
      <x:c r="X461" s="25"/>
      <x:c r="Y461" s="25"/>
      <x:c r="Z461" s="25"/>
    </x:row>
    <x:row r="462">
      <x:c r="A462" s="25"/>
      <x:c r="B462" s="25"/>
      <x:c r="C462" s="25"/>
      <x:c r="D462" s="25"/>
      <x:c r="E462" s="25"/>
      <x:c r="F462" s="25"/>
      <x:c r="G462" s="25"/>
      <x:c r="H462" s="25"/>
      <x:c r="I462" s="25"/>
      <x:c r="J462" s="25"/>
      <x:c r="K462" s="25"/>
      <x:c r="L462" s="25"/>
      <x:c r="M462" s="25"/>
      <x:c r="N462" s="25"/>
      <x:c r="O462" s="25"/>
      <x:c r="P462" s="25"/>
      <x:c r="Q462" s="25"/>
      <x:c r="R462" s="25"/>
      <x:c r="S462" s="25"/>
      <x:c r="T462" s="25"/>
      <x:c r="U462" s="25"/>
      <x:c r="V462" s="25"/>
      <x:c r="W462" s="25"/>
      <x:c r="X462" s="25"/>
      <x:c r="Y462" s="25"/>
      <x:c r="Z462" s="25"/>
    </x:row>
    <x:row r="463">
      <x:c r="A463" s="25"/>
      <x:c r="B463" s="25"/>
      <x:c r="C463" s="25"/>
      <x:c r="D463" s="25"/>
      <x:c r="E463" s="25"/>
      <x:c r="F463" s="25"/>
      <x:c r="G463" s="25"/>
      <x:c r="H463" s="25"/>
      <x:c r="I463" s="25"/>
      <x:c r="J463" s="25"/>
      <x:c r="K463" s="25"/>
      <x:c r="L463" s="25"/>
      <x:c r="M463" s="25"/>
      <x:c r="N463" s="25"/>
      <x:c r="O463" s="25"/>
      <x:c r="P463" s="25"/>
      <x:c r="Q463" s="25"/>
      <x:c r="R463" s="25"/>
      <x:c r="S463" s="25"/>
      <x:c r="T463" s="25"/>
      <x:c r="U463" s="25"/>
      <x:c r="V463" s="25"/>
      <x:c r="W463" s="25"/>
      <x:c r="X463" s="25"/>
      <x:c r="Y463" s="25"/>
      <x:c r="Z463" s="25"/>
    </x:row>
    <x:row r="464">
      <x:c r="A464" s="25"/>
      <x:c r="B464" s="25"/>
      <x:c r="C464" s="25"/>
      <x:c r="D464" s="25"/>
      <x:c r="E464" s="25"/>
      <x:c r="F464" s="25"/>
      <x:c r="G464" s="25"/>
      <x:c r="H464" s="25"/>
      <x:c r="I464" s="25"/>
      <x:c r="J464" s="25"/>
      <x:c r="K464" s="25"/>
      <x:c r="L464" s="25"/>
      <x:c r="M464" s="25"/>
      <x:c r="N464" s="25"/>
      <x:c r="O464" s="25"/>
      <x:c r="P464" s="25"/>
      <x:c r="Q464" s="25"/>
      <x:c r="R464" s="25"/>
      <x:c r="S464" s="25"/>
      <x:c r="T464" s="25"/>
      <x:c r="U464" s="25"/>
      <x:c r="V464" s="25"/>
      <x:c r="W464" s="25"/>
      <x:c r="X464" s="25"/>
      <x:c r="Y464" s="25"/>
      <x:c r="Z464" s="25"/>
    </x:row>
    <x:row r="465">
      <x:c r="A465" s="25"/>
      <x:c r="B465" s="25"/>
      <x:c r="C465" s="25"/>
      <x:c r="D465" s="25"/>
      <x:c r="E465" s="25"/>
      <x:c r="F465" s="25"/>
      <x:c r="G465" s="25"/>
      <x:c r="H465" s="25"/>
      <x:c r="I465" s="25"/>
      <x:c r="J465" s="25"/>
      <x:c r="K465" s="25"/>
      <x:c r="L465" s="25"/>
      <x:c r="M465" s="25"/>
      <x:c r="N465" s="25"/>
      <x:c r="O465" s="25"/>
      <x:c r="P465" s="25"/>
      <x:c r="Q465" s="25"/>
      <x:c r="R465" s="25"/>
      <x:c r="S465" s="25"/>
      <x:c r="T465" s="25"/>
      <x:c r="U465" s="25"/>
      <x:c r="V465" s="25"/>
      <x:c r="W465" s="25"/>
      <x:c r="X465" s="25"/>
      <x:c r="Y465" s="25"/>
      <x:c r="Z465" s="25"/>
    </x:row>
    <x:row r="466">
      <x:c r="A466" s="25"/>
      <x:c r="B466" s="25"/>
      <x:c r="C466" s="25"/>
      <x:c r="D466" s="25"/>
      <x:c r="E466" s="25"/>
      <x:c r="F466" s="25"/>
      <x:c r="G466" s="25"/>
      <x:c r="H466" s="25"/>
      <x:c r="I466" s="25"/>
      <x:c r="J466" s="25"/>
      <x:c r="K466" s="25"/>
      <x:c r="L466" s="25"/>
      <x:c r="M466" s="25"/>
      <x:c r="N466" s="25"/>
      <x:c r="O466" s="25"/>
      <x:c r="P466" s="25"/>
      <x:c r="Q466" s="25"/>
      <x:c r="R466" s="25"/>
      <x:c r="S466" s="25"/>
      <x:c r="T466" s="25"/>
      <x:c r="U466" s="25"/>
      <x:c r="V466" s="25"/>
      <x:c r="W466" s="25"/>
      <x:c r="X466" s="25"/>
      <x:c r="Y466" s="25"/>
      <x:c r="Z466" s="25"/>
    </x:row>
    <x:row r="467">
      <x:c r="A467" s="25"/>
      <x:c r="B467" s="25"/>
      <x:c r="C467" s="25"/>
      <x:c r="D467" s="25"/>
      <x:c r="E467" s="25"/>
      <x:c r="F467" s="25"/>
      <x:c r="G467" s="25"/>
      <x:c r="H467" s="25"/>
      <x:c r="I467" s="25"/>
      <x:c r="J467" s="25"/>
      <x:c r="K467" s="25"/>
      <x:c r="L467" s="25"/>
      <x:c r="M467" s="25"/>
      <x:c r="N467" s="25"/>
      <x:c r="O467" s="25"/>
      <x:c r="P467" s="25"/>
      <x:c r="Q467" s="25"/>
      <x:c r="R467" s="25"/>
      <x:c r="S467" s="25"/>
      <x:c r="T467" s="25"/>
      <x:c r="U467" s="25"/>
      <x:c r="V467" s="25"/>
      <x:c r="W467" s="25"/>
      <x:c r="X467" s="25"/>
      <x:c r="Y467" s="25"/>
      <x:c r="Z467" s="25"/>
    </x:row>
    <x:row r="468">
      <x:c r="A468" s="25"/>
      <x:c r="B468" s="25"/>
      <x:c r="C468" s="25"/>
      <x:c r="D468" s="25"/>
      <x:c r="E468" s="25"/>
      <x:c r="F468" s="25"/>
      <x:c r="G468" s="25"/>
      <x:c r="H468" s="25"/>
      <x:c r="I468" s="25"/>
      <x:c r="J468" s="25"/>
      <x:c r="K468" s="25"/>
      <x:c r="L468" s="25"/>
      <x:c r="M468" s="25"/>
      <x:c r="N468" s="25"/>
      <x:c r="O468" s="25"/>
      <x:c r="P468" s="25"/>
      <x:c r="Q468" s="25"/>
      <x:c r="R468" s="25"/>
      <x:c r="S468" s="25"/>
      <x:c r="T468" s="25"/>
      <x:c r="U468" s="25"/>
      <x:c r="V468" s="25"/>
      <x:c r="W468" s="25"/>
      <x:c r="X468" s="25"/>
      <x:c r="Y468" s="25"/>
      <x:c r="Z468" s="25"/>
    </x:row>
    <x:row r="469">
      <x:c r="A469" s="25"/>
      <x:c r="B469" s="25"/>
      <x:c r="C469" s="25"/>
      <x:c r="D469" s="25"/>
      <x:c r="E469" s="25"/>
      <x:c r="F469" s="25"/>
      <x:c r="G469" s="25"/>
      <x:c r="H469" s="25"/>
      <x:c r="I469" s="25"/>
      <x:c r="J469" s="25"/>
      <x:c r="K469" s="25"/>
      <x:c r="L469" s="25"/>
      <x:c r="M469" s="25"/>
      <x:c r="N469" s="25"/>
      <x:c r="O469" s="25"/>
      <x:c r="P469" s="25"/>
      <x:c r="Q469" s="25"/>
      <x:c r="R469" s="25"/>
      <x:c r="S469" s="25"/>
      <x:c r="T469" s="25"/>
      <x:c r="U469" s="25"/>
      <x:c r="V469" s="25"/>
      <x:c r="W469" s="25"/>
      <x:c r="X469" s="25"/>
      <x:c r="Y469" s="25"/>
      <x:c r="Z469" s="25"/>
    </x:row>
    <x:row r="470">
      <x:c r="A470" s="25"/>
      <x:c r="B470" s="25"/>
      <x:c r="C470" s="25"/>
      <x:c r="D470" s="25"/>
      <x:c r="E470" s="25"/>
      <x:c r="F470" s="25"/>
      <x:c r="G470" s="25"/>
      <x:c r="H470" s="25"/>
      <x:c r="I470" s="25"/>
      <x:c r="J470" s="25"/>
      <x:c r="K470" s="25"/>
      <x:c r="L470" s="25"/>
      <x:c r="M470" s="25"/>
      <x:c r="N470" s="25"/>
      <x:c r="O470" s="25"/>
      <x:c r="P470" s="25"/>
      <x:c r="Q470" s="25"/>
      <x:c r="R470" s="25"/>
      <x:c r="S470" s="25"/>
      <x:c r="T470" s="25"/>
      <x:c r="U470" s="25"/>
      <x:c r="V470" s="25"/>
      <x:c r="W470" s="25"/>
      <x:c r="X470" s="25"/>
      <x:c r="Y470" s="25"/>
      <x:c r="Z470" s="25"/>
    </x:row>
    <x:row r="471">
      <x:c r="A471" s="25"/>
      <x:c r="B471" s="25"/>
      <x:c r="C471" s="25"/>
      <x:c r="D471" s="25"/>
      <x:c r="E471" s="25"/>
      <x:c r="F471" s="25"/>
      <x:c r="G471" s="25"/>
      <x:c r="H471" s="25"/>
      <x:c r="I471" s="25"/>
      <x:c r="J471" s="25"/>
      <x:c r="K471" s="25"/>
      <x:c r="L471" s="25"/>
      <x:c r="M471" s="25"/>
      <x:c r="N471" s="25"/>
      <x:c r="O471" s="25"/>
      <x:c r="P471" s="25"/>
      <x:c r="Q471" s="25"/>
      <x:c r="R471" s="25"/>
      <x:c r="S471" s="25"/>
      <x:c r="T471" s="25"/>
      <x:c r="U471" s="25"/>
      <x:c r="V471" s="25"/>
      <x:c r="W471" s="25"/>
      <x:c r="X471" s="25"/>
      <x:c r="Y471" s="25"/>
      <x:c r="Z471" s="25"/>
    </x:row>
    <x:row r="472">
      <x:c r="A472" s="25"/>
      <x:c r="B472" s="25"/>
      <x:c r="C472" s="25"/>
      <x:c r="D472" s="25"/>
      <x:c r="E472" s="25"/>
      <x:c r="F472" s="25"/>
      <x:c r="G472" s="25"/>
      <x:c r="H472" s="25"/>
      <x:c r="I472" s="25"/>
      <x:c r="J472" s="25"/>
      <x:c r="K472" s="25"/>
      <x:c r="L472" s="25"/>
      <x:c r="M472" s="25"/>
      <x:c r="N472" s="25"/>
      <x:c r="O472" s="25"/>
      <x:c r="P472" s="25"/>
      <x:c r="Q472" s="25"/>
      <x:c r="R472" s="25"/>
      <x:c r="S472" s="25"/>
      <x:c r="T472" s="25"/>
      <x:c r="U472" s="25"/>
      <x:c r="V472" s="25"/>
      <x:c r="W472" s="25"/>
      <x:c r="X472" s="25"/>
      <x:c r="Y472" s="25"/>
      <x:c r="Z472" s="25"/>
    </x:row>
    <x:row r="473">
      <x:c r="A473" s="25"/>
      <x:c r="B473" s="25"/>
      <x:c r="C473" s="25"/>
      <x:c r="D473" s="25"/>
      <x:c r="E473" s="25"/>
      <x:c r="F473" s="25"/>
      <x:c r="G473" s="25"/>
      <x:c r="H473" s="25"/>
      <x:c r="I473" s="25"/>
      <x:c r="J473" s="25"/>
      <x:c r="K473" s="25"/>
      <x:c r="L473" s="25"/>
      <x:c r="M473" s="25"/>
      <x:c r="N473" s="25"/>
      <x:c r="O473" s="25"/>
      <x:c r="P473" s="25"/>
      <x:c r="Q473" s="25"/>
      <x:c r="R473" s="25"/>
      <x:c r="S473" s="25"/>
      <x:c r="T473" s="25"/>
      <x:c r="U473" s="25"/>
      <x:c r="V473" s="25"/>
      <x:c r="W473" s="25"/>
      <x:c r="X473" s="25"/>
      <x:c r="Y473" s="25"/>
      <x:c r="Z473" s="25"/>
    </x:row>
    <x:row r="474">
      <x:c r="A474" s="25"/>
      <x:c r="B474" s="25"/>
      <x:c r="C474" s="25"/>
      <x:c r="D474" s="25"/>
      <x:c r="E474" s="25"/>
      <x:c r="F474" s="25"/>
      <x:c r="G474" s="25"/>
      <x:c r="H474" s="25"/>
      <x:c r="I474" s="25"/>
      <x:c r="J474" s="25"/>
      <x:c r="K474" s="25"/>
      <x:c r="L474" s="25"/>
      <x:c r="M474" s="25"/>
      <x:c r="N474" s="25"/>
      <x:c r="O474" s="25"/>
      <x:c r="P474" s="25"/>
      <x:c r="Q474" s="25"/>
      <x:c r="R474" s="25"/>
      <x:c r="S474" s="25"/>
      <x:c r="T474" s="25"/>
      <x:c r="U474" s="25"/>
      <x:c r="V474" s="25"/>
      <x:c r="W474" s="25"/>
      <x:c r="X474" s="25"/>
      <x:c r="Y474" s="25"/>
      <x:c r="Z474" s="25"/>
    </x:row>
    <x:row r="475">
      <x:c r="A475" s="25"/>
      <x:c r="B475" s="25"/>
      <x:c r="C475" s="25"/>
      <x:c r="D475" s="25"/>
      <x:c r="E475" s="25"/>
      <x:c r="F475" s="25"/>
      <x:c r="G475" s="25"/>
      <x:c r="H475" s="25"/>
      <x:c r="I475" s="25"/>
      <x:c r="J475" s="25"/>
      <x:c r="K475" s="25"/>
      <x:c r="L475" s="25"/>
      <x:c r="M475" s="25"/>
      <x:c r="N475" s="25"/>
      <x:c r="O475" s="25"/>
      <x:c r="P475" s="25"/>
      <x:c r="Q475" s="25"/>
      <x:c r="R475" s="25"/>
      <x:c r="S475" s="25"/>
      <x:c r="T475" s="25"/>
      <x:c r="U475" s="25"/>
      <x:c r="V475" s="25"/>
      <x:c r="W475" s="25"/>
      <x:c r="X475" s="25"/>
      <x:c r="Y475" s="25"/>
      <x:c r="Z475" s="25"/>
    </x:row>
    <x:row r="476">
      <x:c r="A476" s="25"/>
      <x:c r="B476" s="25"/>
      <x:c r="C476" s="25"/>
      <x:c r="D476" s="25"/>
      <x:c r="E476" s="25"/>
      <x:c r="F476" s="25"/>
      <x:c r="G476" s="25"/>
      <x:c r="H476" s="25"/>
      <x:c r="I476" s="25"/>
      <x:c r="J476" s="25"/>
      <x:c r="K476" s="25"/>
      <x:c r="L476" s="25"/>
      <x:c r="M476" s="25"/>
      <x:c r="N476" s="25"/>
      <x:c r="O476" s="25"/>
      <x:c r="P476" s="25"/>
      <x:c r="Q476" s="25"/>
      <x:c r="R476" s="25"/>
      <x:c r="S476" s="25"/>
      <x:c r="T476" s="25"/>
      <x:c r="U476" s="25"/>
      <x:c r="V476" s="25"/>
      <x:c r="W476" s="25"/>
      <x:c r="X476" s="25"/>
      <x:c r="Y476" s="25"/>
      <x:c r="Z476" s="25"/>
    </x:row>
    <x:row r="477">
      <x:c r="A477" s="25"/>
      <x:c r="B477" s="25"/>
      <x:c r="C477" s="25"/>
      <x:c r="D477" s="25"/>
      <x:c r="E477" s="25"/>
      <x:c r="F477" s="25"/>
      <x:c r="G477" s="25"/>
      <x:c r="H477" s="25"/>
      <x:c r="I477" s="25"/>
      <x:c r="J477" s="25"/>
      <x:c r="K477" s="25"/>
      <x:c r="L477" s="25"/>
      <x:c r="M477" s="25"/>
      <x:c r="N477" s="25"/>
      <x:c r="O477" s="25"/>
      <x:c r="P477" s="25"/>
      <x:c r="Q477" s="25"/>
      <x:c r="R477" s="25"/>
      <x:c r="S477" s="25"/>
      <x:c r="T477" s="25"/>
      <x:c r="U477" s="25"/>
      <x:c r="V477" s="25"/>
      <x:c r="W477" s="25"/>
      <x:c r="X477" s="25"/>
      <x:c r="Y477" s="25"/>
      <x:c r="Z477" s="25"/>
    </x:row>
    <x:row r="478">
      <x:c r="A478" s="25"/>
      <x:c r="B478" s="25"/>
      <x:c r="C478" s="25"/>
      <x:c r="D478" s="25"/>
      <x:c r="E478" s="25"/>
      <x:c r="F478" s="25"/>
      <x:c r="G478" s="25"/>
      <x:c r="H478" s="25"/>
      <x:c r="I478" s="25"/>
      <x:c r="J478" s="25"/>
      <x:c r="K478" s="25"/>
      <x:c r="L478" s="25"/>
      <x:c r="M478" s="25"/>
      <x:c r="N478" s="25"/>
      <x:c r="O478" s="25"/>
      <x:c r="P478" s="25"/>
      <x:c r="Q478" s="25"/>
      <x:c r="R478" s="25"/>
      <x:c r="S478" s="25"/>
      <x:c r="T478" s="25"/>
      <x:c r="U478" s="25"/>
      <x:c r="V478" s="25"/>
      <x:c r="W478" s="25"/>
      <x:c r="X478" s="25"/>
      <x:c r="Y478" s="25"/>
      <x:c r="Z478" s="25"/>
    </x:row>
    <x:row r="479">
      <x:c r="A479" s="25"/>
      <x:c r="B479" s="25"/>
      <x:c r="C479" s="25"/>
      <x:c r="D479" s="25"/>
      <x:c r="E479" s="25"/>
      <x:c r="F479" s="25"/>
      <x:c r="G479" s="25"/>
      <x:c r="H479" s="25"/>
      <x:c r="I479" s="25"/>
      <x:c r="J479" s="25"/>
      <x:c r="K479" s="25"/>
      <x:c r="L479" s="25"/>
      <x:c r="M479" s="25"/>
      <x:c r="N479" s="25"/>
      <x:c r="O479" s="25"/>
      <x:c r="P479" s="25"/>
      <x:c r="Q479" s="25"/>
      <x:c r="R479" s="25"/>
      <x:c r="S479" s="25"/>
      <x:c r="T479" s="25"/>
      <x:c r="U479" s="25"/>
      <x:c r="V479" s="25"/>
      <x:c r="W479" s="25"/>
      <x:c r="X479" s="25"/>
      <x:c r="Y479" s="25"/>
      <x:c r="Z479" s="25"/>
    </x:row>
    <x:row r="480">
      <x:c r="A480" s="25"/>
      <x:c r="B480" s="25"/>
      <x:c r="C480" s="25"/>
      <x:c r="D480" s="25"/>
      <x:c r="E480" s="25"/>
      <x:c r="F480" s="25"/>
      <x:c r="G480" s="25"/>
      <x:c r="H480" s="25"/>
      <x:c r="I480" s="25"/>
      <x:c r="J480" s="25"/>
      <x:c r="K480" s="25"/>
      <x:c r="L480" s="25"/>
      <x:c r="M480" s="25"/>
      <x:c r="N480" s="25"/>
      <x:c r="O480" s="25"/>
      <x:c r="P480" s="25"/>
      <x:c r="Q480" s="25"/>
      <x:c r="R480" s="25"/>
      <x:c r="S480" s="25"/>
      <x:c r="T480" s="25"/>
      <x:c r="U480" s="25"/>
      <x:c r="V480" s="25"/>
      <x:c r="W480" s="25"/>
      <x:c r="X480" s="25"/>
      <x:c r="Y480" s="25"/>
      <x:c r="Z480" s="25"/>
    </x:row>
    <x:row r="481">
      <x:c r="A481" s="25"/>
      <x:c r="B481" s="25"/>
      <x:c r="C481" s="25"/>
      <x:c r="D481" s="25"/>
      <x:c r="E481" s="25"/>
      <x:c r="F481" s="25"/>
      <x:c r="G481" s="25"/>
      <x:c r="H481" s="25"/>
      <x:c r="I481" s="25"/>
      <x:c r="J481" s="25"/>
      <x:c r="K481" s="25"/>
      <x:c r="L481" s="25"/>
      <x:c r="M481" s="25"/>
      <x:c r="N481" s="25"/>
      <x:c r="O481" s="25"/>
      <x:c r="P481" s="25"/>
      <x:c r="Q481" s="25"/>
      <x:c r="R481" s="25"/>
      <x:c r="S481" s="25"/>
      <x:c r="T481" s="25"/>
      <x:c r="U481" s="25"/>
      <x:c r="V481" s="25"/>
      <x:c r="W481" s="25"/>
      <x:c r="X481" s="25"/>
      <x:c r="Y481" s="25"/>
      <x:c r="Z481" s="25"/>
    </x:row>
    <x:row r="482">
      <x:c r="A482" s="25"/>
      <x:c r="B482" s="25"/>
      <x:c r="C482" s="25"/>
      <x:c r="D482" s="25"/>
      <x:c r="E482" s="25"/>
      <x:c r="F482" s="25"/>
      <x:c r="G482" s="25"/>
      <x:c r="H482" s="25"/>
      <x:c r="I482" s="25"/>
      <x:c r="J482" s="25"/>
      <x:c r="K482" s="25"/>
      <x:c r="L482" s="25"/>
      <x:c r="M482" s="25"/>
      <x:c r="N482" s="25"/>
      <x:c r="O482" s="25"/>
      <x:c r="P482" s="25"/>
      <x:c r="Q482" s="25"/>
      <x:c r="R482" s="25"/>
      <x:c r="S482" s="25"/>
      <x:c r="T482" s="25"/>
      <x:c r="U482" s="25"/>
      <x:c r="V482" s="25"/>
      <x:c r="W482" s="25"/>
      <x:c r="X482" s="25"/>
      <x:c r="Y482" s="25"/>
      <x:c r="Z482" s="25"/>
    </x:row>
    <x:row r="483">
      <x:c r="A483" s="25"/>
      <x:c r="B483" s="25"/>
      <x:c r="C483" s="25"/>
      <x:c r="D483" s="25"/>
      <x:c r="E483" s="25"/>
      <x:c r="F483" s="25"/>
      <x:c r="G483" s="25"/>
      <x:c r="H483" s="25"/>
      <x:c r="I483" s="25"/>
      <x:c r="J483" s="25"/>
      <x:c r="K483" s="25"/>
      <x:c r="L483" s="25"/>
      <x:c r="M483" s="25"/>
      <x:c r="N483" s="25"/>
      <x:c r="O483" s="25"/>
      <x:c r="P483" s="25"/>
      <x:c r="Q483" s="25"/>
      <x:c r="R483" s="25"/>
      <x:c r="S483" s="25"/>
      <x:c r="T483" s="25"/>
      <x:c r="U483" s="25"/>
      <x:c r="V483" s="25"/>
      <x:c r="W483" s="25"/>
      <x:c r="X483" s="25"/>
      <x:c r="Y483" s="25"/>
      <x:c r="Z483" s="25"/>
    </x:row>
    <x:row r="484">
      <x:c r="A484" s="25"/>
      <x:c r="B484" s="25"/>
      <x:c r="C484" s="25"/>
      <x:c r="D484" s="25"/>
      <x:c r="E484" s="25"/>
      <x:c r="F484" s="25"/>
      <x:c r="G484" s="25"/>
      <x:c r="H484" s="25"/>
      <x:c r="I484" s="25"/>
      <x:c r="J484" s="25"/>
      <x:c r="K484" s="25"/>
      <x:c r="L484" s="25"/>
      <x:c r="M484" s="25"/>
      <x:c r="N484" s="25"/>
      <x:c r="O484" s="25"/>
      <x:c r="P484" s="25"/>
      <x:c r="Q484" s="25"/>
      <x:c r="R484" s="25"/>
      <x:c r="S484" s="25"/>
      <x:c r="T484" s="25"/>
      <x:c r="U484" s="25"/>
      <x:c r="V484" s="25"/>
      <x:c r="W484" s="25"/>
      <x:c r="X484" s="25"/>
      <x:c r="Y484" s="25"/>
      <x:c r="Z484" s="25"/>
    </x:row>
    <x:row r="485">
      <x:c r="A485" s="25"/>
      <x:c r="B485" s="25"/>
      <x:c r="C485" s="25"/>
      <x:c r="D485" s="25"/>
      <x:c r="E485" s="25"/>
      <x:c r="F485" s="25"/>
      <x:c r="G485" s="25"/>
      <x:c r="H485" s="25"/>
      <x:c r="I485" s="25"/>
      <x:c r="J485" s="25"/>
      <x:c r="K485" s="25"/>
      <x:c r="L485" s="25"/>
      <x:c r="M485" s="25"/>
      <x:c r="N485" s="25"/>
      <x:c r="O485" s="25"/>
      <x:c r="P485" s="25"/>
      <x:c r="Q485" s="25"/>
      <x:c r="R485" s="25"/>
      <x:c r="S485" s="25"/>
      <x:c r="T485" s="25"/>
      <x:c r="U485" s="25"/>
      <x:c r="V485" s="25"/>
      <x:c r="W485" s="25"/>
      <x:c r="X485" s="25"/>
      <x:c r="Y485" s="25"/>
      <x:c r="Z485" s="25"/>
    </x:row>
    <x:row r="486">
      <x:c r="A486" s="25"/>
      <x:c r="B486" s="25"/>
      <x:c r="C486" s="25"/>
      <x:c r="D486" s="25"/>
      <x:c r="E486" s="25"/>
      <x:c r="F486" s="25"/>
      <x:c r="G486" s="25"/>
      <x:c r="H486" s="25"/>
      <x:c r="I486" s="25"/>
      <x:c r="J486" s="25"/>
      <x:c r="K486" s="25"/>
      <x:c r="L486" s="25"/>
      <x:c r="M486" s="25"/>
      <x:c r="N486" s="25"/>
      <x:c r="O486" s="25"/>
      <x:c r="P486" s="25"/>
      <x:c r="Q486" s="25"/>
      <x:c r="R486" s="25"/>
      <x:c r="S486" s="25"/>
      <x:c r="T486" s="25"/>
      <x:c r="U486" s="25"/>
      <x:c r="V486" s="25"/>
      <x:c r="W486" s="25"/>
      <x:c r="X486" s="25"/>
      <x:c r="Y486" s="25"/>
      <x:c r="Z486" s="25"/>
    </x:row>
    <x:row r="487">
      <x:c r="A487" s="25"/>
      <x:c r="B487" s="25"/>
      <x:c r="C487" s="25"/>
      <x:c r="D487" s="25"/>
      <x:c r="E487" s="25"/>
      <x:c r="F487" s="25"/>
      <x:c r="G487" s="25"/>
      <x:c r="H487" s="25"/>
      <x:c r="I487" s="25"/>
      <x:c r="J487" s="25"/>
      <x:c r="K487" s="25"/>
      <x:c r="L487" s="25"/>
      <x:c r="M487" s="25"/>
      <x:c r="N487" s="25"/>
      <x:c r="O487" s="25"/>
      <x:c r="P487" s="25"/>
      <x:c r="Q487" s="25"/>
      <x:c r="R487" s="25"/>
      <x:c r="S487" s="25"/>
      <x:c r="T487" s="25"/>
      <x:c r="U487" s="25"/>
      <x:c r="V487" s="25"/>
      <x:c r="W487" s="25"/>
      <x:c r="X487" s="25"/>
      <x:c r="Y487" s="25"/>
      <x:c r="Z487" s="25"/>
    </x:row>
    <x:row r="488">
      <x:c r="A488" s="25"/>
      <x:c r="B488" s="25"/>
      <x:c r="C488" s="25"/>
      <x:c r="D488" s="25"/>
      <x:c r="E488" s="25"/>
      <x:c r="F488" s="25"/>
      <x:c r="G488" s="25"/>
      <x:c r="H488" s="25"/>
      <x:c r="I488" s="25"/>
      <x:c r="J488" s="25"/>
      <x:c r="K488" s="25"/>
      <x:c r="L488" s="25"/>
      <x:c r="M488" s="25"/>
      <x:c r="N488" s="25"/>
      <x:c r="O488" s="25"/>
      <x:c r="P488" s="25"/>
      <x:c r="Q488" s="25"/>
      <x:c r="R488" s="25"/>
      <x:c r="S488" s="25"/>
      <x:c r="T488" s="25"/>
      <x:c r="U488" s="25"/>
      <x:c r="V488" s="25"/>
      <x:c r="W488" s="25"/>
      <x:c r="X488" s="25"/>
      <x:c r="Y488" s="25"/>
      <x:c r="Z488" s="25"/>
    </x:row>
    <x:row r="489">
      <x:c r="A489" s="25"/>
      <x:c r="B489" s="25"/>
      <x:c r="C489" s="25"/>
      <x:c r="D489" s="25"/>
      <x:c r="E489" s="25"/>
      <x:c r="F489" s="25"/>
      <x:c r="G489" s="25"/>
      <x:c r="H489" s="25"/>
      <x:c r="I489" s="25"/>
      <x:c r="J489" s="25"/>
      <x:c r="K489" s="25"/>
      <x:c r="L489" s="25"/>
      <x:c r="M489" s="25"/>
      <x:c r="N489" s="25"/>
      <x:c r="O489" s="25"/>
      <x:c r="P489" s="25"/>
      <x:c r="Q489" s="25"/>
      <x:c r="R489" s="25"/>
      <x:c r="S489" s="25"/>
      <x:c r="T489" s="25"/>
      <x:c r="U489" s="25"/>
      <x:c r="V489" s="25"/>
      <x:c r="W489" s="25"/>
      <x:c r="X489" s="25"/>
      <x:c r="Y489" s="25"/>
      <x:c r="Z489" s="25"/>
    </x:row>
    <x:row r="490">
      <x:c r="A490" s="25"/>
      <x:c r="B490" s="25"/>
      <x:c r="C490" s="25"/>
      <x:c r="D490" s="25"/>
      <x:c r="E490" s="25"/>
      <x:c r="F490" s="25"/>
      <x:c r="G490" s="25"/>
      <x:c r="H490" s="25"/>
      <x:c r="I490" s="25"/>
      <x:c r="J490" s="25"/>
      <x:c r="K490" s="25"/>
      <x:c r="L490" s="25"/>
      <x:c r="M490" s="25"/>
      <x:c r="N490" s="25"/>
      <x:c r="O490" s="25"/>
      <x:c r="P490" s="25"/>
      <x:c r="Q490" s="25"/>
      <x:c r="R490" s="25"/>
      <x:c r="S490" s="25"/>
      <x:c r="T490" s="25"/>
      <x:c r="U490" s="25"/>
      <x:c r="V490" s="25"/>
      <x:c r="W490" s="25"/>
      <x:c r="X490" s="25"/>
      <x:c r="Y490" s="25"/>
      <x:c r="Z490" s="25"/>
    </x:row>
    <x:row r="491">
      <x:c r="A491" s="25"/>
      <x:c r="B491" s="25"/>
      <x:c r="C491" s="25"/>
      <x:c r="D491" s="25"/>
      <x:c r="E491" s="25"/>
      <x:c r="F491" s="25"/>
      <x:c r="G491" s="25"/>
      <x:c r="H491" s="25"/>
      <x:c r="I491" s="25"/>
      <x:c r="J491" s="25"/>
      <x:c r="K491" s="25"/>
      <x:c r="L491" s="25"/>
      <x:c r="M491" s="25"/>
      <x:c r="N491" s="25"/>
      <x:c r="O491" s="25"/>
      <x:c r="P491" s="25"/>
      <x:c r="Q491" s="25"/>
      <x:c r="R491" s="25"/>
      <x:c r="S491" s="25"/>
      <x:c r="T491" s="25"/>
      <x:c r="U491" s="25"/>
      <x:c r="V491" s="25"/>
      <x:c r="W491" s="25"/>
      <x:c r="X491" s="25"/>
      <x:c r="Y491" s="25"/>
      <x:c r="Z491" s="25"/>
    </x:row>
    <x:row r="492">
      <x:c r="A492" s="25"/>
      <x:c r="B492" s="25"/>
      <x:c r="C492" s="25"/>
      <x:c r="D492" s="25"/>
      <x:c r="E492" s="25"/>
      <x:c r="F492" s="25"/>
      <x:c r="G492" s="25"/>
      <x:c r="H492" s="25"/>
      <x:c r="I492" s="25"/>
      <x:c r="J492" s="25"/>
      <x:c r="K492" s="25"/>
      <x:c r="L492" s="25"/>
      <x:c r="M492" s="25"/>
      <x:c r="N492" s="25"/>
      <x:c r="O492" s="25"/>
      <x:c r="P492" s="25"/>
      <x:c r="Q492" s="25"/>
      <x:c r="R492" s="25"/>
      <x:c r="S492" s="25"/>
      <x:c r="T492" s="25"/>
      <x:c r="U492" s="25"/>
      <x:c r="V492" s="25"/>
      <x:c r="W492" s="25"/>
      <x:c r="X492" s="25"/>
      <x:c r="Y492" s="25"/>
      <x:c r="Z492" s="25"/>
    </x:row>
    <x:row r="493">
      <x:c r="A493" s="25"/>
      <x:c r="B493" s="25"/>
      <x:c r="C493" s="25"/>
      <x:c r="D493" s="25"/>
      <x:c r="E493" s="25"/>
      <x:c r="F493" s="25"/>
      <x:c r="G493" s="25"/>
      <x:c r="H493" s="25"/>
      <x:c r="I493" s="25"/>
      <x:c r="J493" s="25"/>
      <x:c r="K493" s="25"/>
      <x:c r="L493" s="25"/>
      <x:c r="M493" s="25"/>
      <x:c r="N493" s="25"/>
      <x:c r="O493" s="25"/>
      <x:c r="P493" s="25"/>
      <x:c r="Q493" s="25"/>
      <x:c r="R493" s="25"/>
      <x:c r="S493" s="25"/>
      <x:c r="T493" s="25"/>
      <x:c r="U493" s="25"/>
      <x:c r="V493" s="25"/>
      <x:c r="W493" s="25"/>
      <x:c r="X493" s="25"/>
      <x:c r="Y493" s="25"/>
      <x:c r="Z493" s="25"/>
    </x:row>
    <x:row r="494">
      <x:c r="A494" s="25"/>
      <x:c r="B494" s="25"/>
      <x:c r="C494" s="25"/>
      <x:c r="D494" s="25"/>
      <x:c r="E494" s="25"/>
      <x:c r="F494" s="25"/>
      <x:c r="G494" s="25"/>
      <x:c r="H494" s="25"/>
      <x:c r="I494" s="25"/>
      <x:c r="J494" s="25"/>
      <x:c r="K494" s="25"/>
      <x:c r="L494" s="25"/>
      <x:c r="M494" s="25"/>
      <x:c r="N494" s="25"/>
      <x:c r="O494" s="25"/>
      <x:c r="P494" s="25"/>
      <x:c r="Q494" s="25"/>
      <x:c r="R494" s="25"/>
      <x:c r="S494" s="25"/>
      <x:c r="T494" s="25"/>
      <x:c r="U494" s="25"/>
      <x:c r="V494" s="25"/>
      <x:c r="W494" s="25"/>
      <x:c r="X494" s="25"/>
      <x:c r="Y494" s="25"/>
      <x:c r="Z494" s="25"/>
    </x:row>
    <x:row r="495">
      <x:c r="A495" s="25"/>
      <x:c r="B495" s="25"/>
      <x:c r="C495" s="25"/>
      <x:c r="D495" s="25"/>
      <x:c r="E495" s="25"/>
      <x:c r="F495" s="25"/>
      <x:c r="G495" s="25"/>
      <x:c r="H495" s="25"/>
      <x:c r="I495" s="25"/>
      <x:c r="J495" s="25"/>
      <x:c r="K495" s="25"/>
      <x:c r="L495" s="25"/>
      <x:c r="M495" s="25"/>
      <x:c r="N495" s="25"/>
      <x:c r="O495" s="25"/>
      <x:c r="P495" s="25"/>
      <x:c r="Q495" s="25"/>
      <x:c r="R495" s="25"/>
      <x:c r="S495" s="25"/>
      <x:c r="T495" s="25"/>
      <x:c r="U495" s="25"/>
      <x:c r="V495" s="25"/>
      <x:c r="W495" s="25"/>
      <x:c r="X495" s="25"/>
      <x:c r="Y495" s="25"/>
      <x:c r="Z495" s="25"/>
    </x:row>
    <x:row r="496">
      <x:c r="A496" s="25"/>
      <x:c r="B496" s="25"/>
      <x:c r="C496" s="25"/>
      <x:c r="D496" s="25"/>
      <x:c r="E496" s="25"/>
      <x:c r="F496" s="25"/>
      <x:c r="G496" s="25"/>
      <x:c r="H496" s="25"/>
      <x:c r="I496" s="25"/>
      <x:c r="J496" s="25"/>
      <x:c r="K496" s="25"/>
      <x:c r="L496" s="25"/>
      <x:c r="M496" s="25"/>
      <x:c r="N496" s="25"/>
      <x:c r="O496" s="25"/>
      <x:c r="P496" s="25"/>
      <x:c r="Q496" s="25"/>
      <x:c r="R496" s="25"/>
      <x:c r="S496" s="25"/>
      <x:c r="T496" s="25"/>
      <x:c r="U496" s="25"/>
      <x:c r="V496" s="25"/>
      <x:c r="W496" s="25"/>
      <x:c r="X496" s="25"/>
      <x:c r="Y496" s="25"/>
      <x:c r="Z496" s="25"/>
    </x:row>
    <x:row r="497">
      <x:c r="A497" s="25"/>
      <x:c r="B497" s="25"/>
      <x:c r="C497" s="25"/>
      <x:c r="D497" s="25"/>
      <x:c r="E497" s="25"/>
      <x:c r="F497" s="25"/>
      <x:c r="G497" s="25"/>
      <x:c r="H497" s="25"/>
      <x:c r="I497" s="25"/>
      <x:c r="J497" s="25"/>
      <x:c r="K497" s="25"/>
      <x:c r="L497" s="25"/>
      <x:c r="M497" s="25"/>
      <x:c r="N497" s="25"/>
      <x:c r="O497" s="25"/>
      <x:c r="P497" s="25"/>
      <x:c r="Q497" s="25"/>
      <x:c r="R497" s="25"/>
      <x:c r="S497" s="25"/>
      <x:c r="T497" s="25"/>
      <x:c r="U497" s="25"/>
      <x:c r="V497" s="25"/>
      <x:c r="W497" s="25"/>
      <x:c r="X497" s="25"/>
      <x:c r="Y497" s="25"/>
      <x:c r="Z497" s="25"/>
    </x:row>
    <x:row r="498">
      <x:c r="A498" s="25"/>
      <x:c r="B498" s="25"/>
      <x:c r="C498" s="25"/>
      <x:c r="D498" s="25"/>
      <x:c r="E498" s="25"/>
      <x:c r="F498" s="25"/>
      <x:c r="G498" s="25"/>
      <x:c r="H498" s="25"/>
      <x:c r="I498" s="25"/>
      <x:c r="J498" s="25"/>
      <x:c r="K498" s="25"/>
      <x:c r="L498" s="25"/>
      <x:c r="M498" s="25"/>
      <x:c r="N498" s="25"/>
      <x:c r="O498" s="25"/>
      <x:c r="P498" s="25"/>
      <x:c r="Q498" s="25"/>
      <x:c r="R498" s="25"/>
      <x:c r="S498" s="25"/>
      <x:c r="T498" s="25"/>
      <x:c r="U498" s="25"/>
      <x:c r="V498" s="25"/>
      <x:c r="W498" s="25"/>
      <x:c r="X498" s="25"/>
      <x:c r="Y498" s="25"/>
      <x:c r="Z498" s="25"/>
    </x:row>
    <x:row r="499">
      <x:c r="A499" s="25"/>
      <x:c r="B499" s="25"/>
      <x:c r="C499" s="25"/>
      <x:c r="D499" s="25"/>
      <x:c r="E499" s="25"/>
      <x:c r="F499" s="25"/>
      <x:c r="G499" s="25"/>
      <x:c r="H499" s="25"/>
      <x:c r="I499" s="25"/>
      <x:c r="J499" s="25"/>
      <x:c r="K499" s="25"/>
      <x:c r="L499" s="25"/>
      <x:c r="M499" s="25"/>
      <x:c r="N499" s="25"/>
      <x:c r="O499" s="25"/>
      <x:c r="P499" s="25"/>
      <x:c r="Q499" s="25"/>
      <x:c r="R499" s="25"/>
      <x:c r="S499" s="25"/>
      <x:c r="T499" s="25"/>
      <x:c r="U499" s="25"/>
      <x:c r="V499" s="25"/>
      <x:c r="W499" s="25"/>
      <x:c r="X499" s="25"/>
      <x:c r="Y499" s="25"/>
      <x:c r="Z499" s="25"/>
    </x:row>
    <x:row r="500">
      <x:c r="A500" s="25"/>
      <x:c r="B500" s="25"/>
      <x:c r="C500" s="25"/>
      <x:c r="D500" s="25"/>
      <x:c r="E500" s="25"/>
      <x:c r="F500" s="25"/>
      <x:c r="G500" s="25"/>
      <x:c r="H500" s="25"/>
      <x:c r="I500" s="25"/>
      <x:c r="J500" s="25"/>
      <x:c r="K500" s="25"/>
      <x:c r="L500" s="25"/>
      <x:c r="M500" s="25"/>
      <x:c r="N500" s="25"/>
      <x:c r="O500" s="25"/>
      <x:c r="P500" s="25"/>
      <x:c r="Q500" s="25"/>
      <x:c r="R500" s="25"/>
      <x:c r="S500" s="25"/>
      <x:c r="T500" s="25"/>
      <x:c r="U500" s="25"/>
      <x:c r="V500" s="25"/>
      <x:c r="W500" s="25"/>
      <x:c r="X500" s="25"/>
      <x:c r="Y500" s="25"/>
      <x:c r="Z500" s="2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30" hidden="0" customWidth="1"/>
    <x:col min="5" max="5" width="30" hidden="0" customWidth="1"/>
    <x:col min="6" max="6" width="48" hidden="0" customWidth="1"/>
  </x:cols>
  <x:sheetData>
    <x:row r="1">
      <x:c r="A1" s="24" t="str">
        <x:v>Scoring Guide &amp; Product Rules</x:v>
      </x:c>
      <x:c r="B1" s="24"/>
      <x:c r="C1" s="24"/>
      <x:c r="D1" s="24"/>
      <x:c r="E1" s="24"/>
      <x:c r="F1" s="24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s="24"/>
      <x:c r="B2" s="24"/>
      <x:c r="C2" s="24"/>
      <x:c r="D2" s="24"/>
      <x:c r="E2" s="24"/>
      <x:c r="F2" s="24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26" t="str">
        <x:v>Dimension</x:v>
      </x:c>
      <x:c r="B4" s="26" t="str">
        <x:v>1</x:v>
      </x:c>
      <x:c r="C4" s="26" t="str">
        <x:v>5</x:v>
      </x:c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25" t="str">
        <x:v>Frequency</x:v>
      </x:c>
      <x:c r="B5" s="25" t="str">
        <x:v>极低频/生命周期一次</x:v>
      </x:c>
      <x:c r="C5" s="25" t="str">
        <x:v>每日或接近每日</x:v>
      </x:c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25" t="str">
        <x:v>User Value</x:v>
      </x:c>
      <x:c r="B6" s="25" t="str">
        <x:v>锦上添花</x:v>
      </x:c>
      <x:c r="C6" s="25" t="str">
        <x:v>直接解决核心痛点/安全问题</x:v>
      </x:c>
      <x:c r="D6" s="25"/>
      <x:c r="E6" s="25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25" t="str">
        <x:v>Data Value</x:v>
      </x:c>
      <x:c r="B7" s="25" t="str">
        <x:v>几乎不复利</x:v>
      </x:c>
      <x:c r="C7" s="25" t="str">
        <x:v>形成长期Pet Life Graph/Outcome</x:v>
      </x:c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25" t="str">
        <x:v>Business Value</x:v>
      </x:c>
      <x:c r="B8" s="25" t="str">
        <x:v>难变现</x:v>
      </x:c>
      <x:c r="C8" s="25" t="str">
        <x:v>明显带来订阅/服务/合作收入</x:v>
      </x:c>
      <x:c r="D8" s="25"/>
      <x:c r="E8" s="25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25" t="str">
        <x:v>Difficulty</x:v>
      </x:c>
      <x:c r="B9" s="25" t="str">
        <x:v>简单</x:v>
      </x:c>
      <x:c r="C9" s="25" t="str">
        <x:v>跨系统/复杂AI/专业验证</x:v>
      </x:c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25" t="str">
        <x:v>Safety Risk</x:v>
      </x:c>
      <x:c r="B10" s="25" t="str">
        <x:v>低风险</x:v>
      </x:c>
      <x:c r="C10" s="25" t="str">
        <x:v>医疗/资金/身份/隐私高风险</x:v>
      </x:c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25" t="str">
        <x:v>Priority Score</x:v>
      </x:c>
      <x:c r="B11" s="25" t="str">
        <x:v>0.22F+0.28U+0.20D+0.15B+0.08(6-T)+0.07(6-R)</x:v>
      </x:c>
      <x:c r="C11" s="25" t="str">
        <x:v>只辅助决策，阶段/依赖可覆盖分数</x:v>
      </x:c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26" t="str">
        <x:v>Rule</x:v>
      </x:c>
      <x:c r="B14" s="26" t="str">
        <x:v>v0.1</x:v>
      </x:c>
      <x:c r="C14" s="26" t="str">
        <x:v>v0.2</x:v>
      </x:c>
      <x:c r="D14" s="26" t="str">
        <x:v>v1.0</x:v>
      </x:c>
      <x:c r="E14" s="26" t="str">
        <x:v>Future</x:v>
      </x:c>
      <x:c r="F14" s="26" t="str">
        <x:v>Reason</x:v>
      </x:c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14" t="str">
        <x:v>产品目标</x:v>
      </x:c>
      <x:c r="B15" s="14" t="str">
        <x:v>三角MVP</x:v>
      </x:c>
      <x:c r="C15" s="14" t="str">
        <x:v>个体化学习</x:v>
      </x:c>
      <x:c r="D15" s="14" t="str">
        <x:v>跨域平台</x:v>
      </x:c>
      <x:c r="E15" s="14" t="str">
        <x:v>生命智能</x:v>
      </x:c>
      <x:c r="F15" s="14" t="str">
        <x:v>先高频与连续性，再网络和商业化</x:v>
      </x:c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14" t="str">
        <x:v>允许AI</x:v>
      </x:c>
      <x:c r="B16" s="14" t="str">
        <x:v>摘要/结构化/安全分诊</x:v>
      </x:c>
      <x:c r="C16" s="14" t="str">
        <x:v>RAG/训练计划/基线</x:v>
      </x:c>
      <x:c r="D16" s="14" t="str">
        <x:v>设备融合/推荐/服务匹配</x:v>
      </x:c>
      <x:c r="E16" s="14" t="str">
        <x:v>多Agent/预测研究</x:v>
      </x:c>
      <x:c r="F16" s="14" t="str">
        <x:v>AI越强，验证和权限越严格</x:v>
      </x:c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14" t="str">
        <x:v>禁止项</x:v>
      </x:c>
      <x:c r="B17" s="14" t="str">
        <x:v>公开Feed/商城/自研硬件</x:v>
      </x:c>
      <x:c r="C17" s="14" t="str">
        <x:v>无证据情绪翻译</x:v>
      </x:c>
      <x:c r="D17" s="14" t="str">
        <x:v>自动医疗决策</x:v>
      </x:c>
      <x:c r="E17" s="14" t="str">
        <x:v>无Outcome数字孪生</x:v>
      </x:c>
      <x:c r="F17" s="14" t="str">
        <x:v>防止范围爆炸与伪科学</x:v>
      </x:c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14" t="str">
        <x:v>数据原则</x:v>
      </x:c>
      <x:c r="B18" s="14" t="str">
        <x:v>每次动作写Event</x:v>
      </x:c>
      <x:c r="C18" s="14" t="str">
        <x:v>建立Baseline</x:v>
      </x:c>
      <x:c r="D18" s="14" t="str">
        <x:v>跨域Outcome回流</x:v>
      </x:c>
      <x:c r="E18" s="14" t="str">
        <x:v>多年纵向模型</x:v>
      </x:c>
      <x:c r="F18" s="14" t="str">
        <x:v>同一Pet ID、不可丢来源</x:v>
      </x:c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14" t="str">
        <x:v>安全原则</x:v>
      </x:c>
      <x:c r="B19" s="14" t="str">
        <x:v>红旗规则独立LLM</x:v>
      </x:c>
      <x:c r="C19" s="14" t="str">
        <x:v>专业建议标来源</x:v>
      </x:c>
      <x:c r="D19" s="14" t="str">
        <x:v>高风险动作需确认</x:v>
      </x:c>
      <x:c r="E19" s="14" t="str">
        <x:v>研究/模型需独立验证</x:v>
      </x:c>
      <x:c r="F19" s="14" t="str">
        <x:v>不让Agent越过人类授权</x:v>
      </x:c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25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25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25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25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25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25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25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25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25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25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25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25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25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25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25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25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25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25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25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25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25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25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25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25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25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25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25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25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25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25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25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25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25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25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25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25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25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25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25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25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25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25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25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25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25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25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25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25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25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25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25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25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25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25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25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25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25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25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25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25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25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25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25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25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25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25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25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25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25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25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25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25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25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25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25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25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25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25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25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25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25"/>
      <x:c r="B201" s="25"/>
      <x:c r="C201" s="25"/>
      <x:c r="D201" s="25"/>
      <x:c r="E201" s="25"/>
      <x:c r="F201" s="25"/>
      <x:c r="G201" s="25"/>
      <x:c r="H201" s="25"/>
      <x:c r="I201" s="25"/>
      <x:c r="J201" s="25"/>
      <x:c r="K201" s="25"/>
      <x:c r="L201" s="25"/>
      <x:c r="M201" s="25"/>
      <x:c r="N201" s="25"/>
      <x:c r="O201" s="25"/>
      <x:c r="P201" s="25"/>
      <x:c r="Q201" s="25"/>
      <x:c r="R201" s="25"/>
      <x:c r="S201" s="25"/>
      <x:c r="T201" s="25"/>
      <x:c r="U201" s="25"/>
      <x:c r="V201" s="25"/>
      <x:c r="W201" s="25"/>
      <x:c r="X201" s="25"/>
      <x:c r="Y201" s="25"/>
      <x:c r="Z201" s="25"/>
    </x:row>
    <x:row r="202">
      <x:c r="A202" s="25"/>
      <x:c r="B202" s="25"/>
      <x:c r="C202" s="25"/>
      <x:c r="D202" s="25"/>
      <x:c r="E202" s="25"/>
      <x:c r="F202" s="25"/>
      <x:c r="G202" s="25"/>
      <x:c r="H202" s="25"/>
      <x:c r="I202" s="25"/>
      <x:c r="J202" s="25"/>
      <x:c r="K202" s="25"/>
      <x:c r="L202" s="25"/>
      <x:c r="M202" s="25"/>
      <x:c r="N202" s="25"/>
      <x:c r="O202" s="25"/>
      <x:c r="P202" s="25"/>
      <x:c r="Q202" s="25"/>
      <x:c r="R202" s="25"/>
      <x:c r="S202" s="25"/>
      <x:c r="T202" s="25"/>
      <x:c r="U202" s="25"/>
      <x:c r="V202" s="25"/>
      <x:c r="W202" s="25"/>
      <x:c r="X202" s="25"/>
      <x:c r="Y202" s="25"/>
      <x:c r="Z202" s="25"/>
    </x:row>
    <x:row r="203">
      <x:c r="A203" s="25"/>
      <x:c r="B203" s="25"/>
      <x:c r="C203" s="25"/>
      <x:c r="D203" s="25"/>
      <x:c r="E203" s="25"/>
      <x:c r="F203" s="25"/>
      <x:c r="G203" s="25"/>
      <x:c r="H203" s="25"/>
      <x:c r="I203" s="25"/>
      <x:c r="J203" s="25"/>
      <x:c r="K203" s="25"/>
      <x:c r="L203" s="25"/>
      <x:c r="M203" s="25"/>
      <x:c r="N203" s="25"/>
      <x:c r="O203" s="25"/>
      <x:c r="P203" s="25"/>
      <x:c r="Q203" s="25"/>
      <x:c r="R203" s="25"/>
      <x:c r="S203" s="25"/>
      <x:c r="T203" s="25"/>
      <x:c r="U203" s="25"/>
      <x:c r="V203" s="25"/>
      <x:c r="W203" s="25"/>
      <x:c r="X203" s="25"/>
      <x:c r="Y203" s="25"/>
      <x:c r="Z203" s="25"/>
    </x:row>
    <x:row r="204">
      <x:c r="A204" s="25"/>
      <x:c r="B204" s="25"/>
      <x:c r="C204" s="25"/>
      <x:c r="D204" s="25"/>
      <x:c r="E204" s="25"/>
      <x:c r="F204" s="25"/>
      <x:c r="G204" s="25"/>
      <x:c r="H204" s="25"/>
      <x:c r="I204" s="25"/>
      <x:c r="J204" s="25"/>
      <x:c r="K204" s="25"/>
      <x:c r="L204" s="25"/>
      <x:c r="M204" s="25"/>
      <x:c r="N204" s="25"/>
      <x:c r="O204" s="25"/>
      <x:c r="P204" s="25"/>
      <x:c r="Q204" s="25"/>
      <x:c r="R204" s="25"/>
      <x:c r="S204" s="25"/>
      <x:c r="T204" s="25"/>
      <x:c r="U204" s="25"/>
      <x:c r="V204" s="25"/>
      <x:c r="W204" s="25"/>
      <x:c r="X204" s="25"/>
      <x:c r="Y204" s="25"/>
      <x:c r="Z204" s="25"/>
    </x:row>
    <x:row r="205">
      <x:c r="A205" s="25"/>
      <x:c r="B205" s="25"/>
      <x:c r="C205" s="25"/>
      <x:c r="D205" s="25"/>
      <x:c r="E205" s="25"/>
      <x:c r="F205" s="25"/>
      <x:c r="G205" s="25"/>
      <x:c r="H205" s="25"/>
      <x:c r="I205" s="25"/>
      <x:c r="J205" s="25"/>
      <x:c r="K205" s="25"/>
      <x:c r="L205" s="25"/>
      <x:c r="M205" s="25"/>
      <x:c r="N205" s="25"/>
      <x:c r="O205" s="25"/>
      <x:c r="P205" s="25"/>
      <x:c r="Q205" s="25"/>
      <x:c r="R205" s="25"/>
      <x:c r="S205" s="25"/>
      <x:c r="T205" s="25"/>
      <x:c r="U205" s="25"/>
      <x:c r="V205" s="25"/>
      <x:c r="W205" s="25"/>
      <x:c r="X205" s="25"/>
      <x:c r="Y205" s="25"/>
      <x:c r="Z205" s="25"/>
    </x:row>
    <x:row r="206">
      <x:c r="A206" s="25"/>
      <x:c r="B206" s="25"/>
      <x:c r="C206" s="25"/>
      <x:c r="D206" s="25"/>
      <x:c r="E206" s="25"/>
      <x:c r="F206" s="25"/>
      <x:c r="G206" s="25"/>
      <x:c r="H206" s="25"/>
      <x:c r="I206" s="25"/>
      <x:c r="J206" s="25"/>
      <x:c r="K206" s="25"/>
      <x:c r="L206" s="25"/>
      <x:c r="M206" s="25"/>
      <x:c r="N206" s="25"/>
      <x:c r="O206" s="25"/>
      <x:c r="P206" s="25"/>
      <x:c r="Q206" s="25"/>
      <x:c r="R206" s="25"/>
      <x:c r="S206" s="25"/>
      <x:c r="T206" s="25"/>
      <x:c r="U206" s="25"/>
      <x:c r="V206" s="25"/>
      <x:c r="W206" s="25"/>
      <x:c r="X206" s="25"/>
      <x:c r="Y206" s="25"/>
      <x:c r="Z206" s="25"/>
    </x:row>
    <x:row r="207">
      <x:c r="A207" s="25"/>
      <x:c r="B207" s="25"/>
      <x:c r="C207" s="25"/>
      <x:c r="D207" s="25"/>
      <x:c r="E207" s="25"/>
      <x:c r="F207" s="25"/>
      <x:c r="G207" s="25"/>
      <x:c r="H207" s="25"/>
      <x:c r="I207" s="25"/>
      <x:c r="J207" s="25"/>
      <x:c r="K207" s="25"/>
      <x:c r="L207" s="25"/>
      <x:c r="M207" s="25"/>
      <x:c r="N207" s="25"/>
      <x:c r="O207" s="25"/>
      <x:c r="P207" s="25"/>
      <x:c r="Q207" s="25"/>
      <x:c r="R207" s="25"/>
      <x:c r="S207" s="25"/>
      <x:c r="T207" s="25"/>
      <x:c r="U207" s="25"/>
      <x:c r="V207" s="25"/>
      <x:c r="W207" s="25"/>
      <x:c r="X207" s="25"/>
      <x:c r="Y207" s="25"/>
      <x:c r="Z207" s="25"/>
    </x:row>
    <x:row r="208">
      <x:c r="A208" s="25"/>
      <x:c r="B208" s="25"/>
      <x:c r="C208" s="25"/>
      <x:c r="D208" s="25"/>
      <x:c r="E208" s="25"/>
      <x:c r="F208" s="25"/>
      <x:c r="G208" s="25"/>
      <x:c r="H208" s="25"/>
      <x:c r="I208" s="25"/>
      <x:c r="J208" s="25"/>
      <x:c r="K208" s="25"/>
      <x:c r="L208" s="25"/>
      <x:c r="M208" s="25"/>
      <x:c r="N208" s="25"/>
      <x:c r="O208" s="25"/>
      <x:c r="P208" s="25"/>
      <x:c r="Q208" s="25"/>
      <x:c r="R208" s="25"/>
      <x:c r="S208" s="25"/>
      <x:c r="T208" s="25"/>
      <x:c r="U208" s="25"/>
      <x:c r="V208" s="25"/>
      <x:c r="W208" s="25"/>
      <x:c r="X208" s="25"/>
      <x:c r="Y208" s="25"/>
      <x:c r="Z208" s="25"/>
    </x:row>
    <x:row r="209">
      <x:c r="A209" s="25"/>
      <x:c r="B209" s="25"/>
      <x:c r="C209" s="25"/>
      <x:c r="D209" s="25"/>
      <x:c r="E209" s="25"/>
      <x:c r="F209" s="25"/>
      <x:c r="G209" s="25"/>
      <x:c r="H209" s="25"/>
      <x:c r="I209" s="25"/>
      <x:c r="J209" s="25"/>
      <x:c r="K209" s="25"/>
      <x:c r="L209" s="25"/>
      <x:c r="M209" s="25"/>
      <x:c r="N209" s="25"/>
      <x:c r="O209" s="25"/>
      <x:c r="P209" s="25"/>
      <x:c r="Q209" s="25"/>
      <x:c r="R209" s="25"/>
      <x:c r="S209" s="25"/>
      <x:c r="T209" s="25"/>
      <x:c r="U209" s="25"/>
      <x:c r="V209" s="25"/>
      <x:c r="W209" s="25"/>
      <x:c r="X209" s="25"/>
      <x:c r="Y209" s="25"/>
      <x:c r="Z209" s="25"/>
    </x:row>
    <x:row r="210">
      <x:c r="A210" s="25"/>
      <x:c r="B210" s="25"/>
      <x:c r="C210" s="25"/>
      <x:c r="D210" s="25"/>
      <x:c r="E210" s="25"/>
      <x:c r="F210" s="25"/>
      <x:c r="G210" s="25"/>
      <x:c r="H210" s="25"/>
      <x:c r="I210" s="25"/>
      <x:c r="J210" s="25"/>
      <x:c r="K210" s="25"/>
      <x:c r="L210" s="25"/>
      <x:c r="M210" s="25"/>
      <x:c r="N210" s="25"/>
      <x:c r="O210" s="25"/>
      <x:c r="P210" s="25"/>
      <x:c r="Q210" s="25"/>
      <x:c r="R210" s="25"/>
      <x:c r="S210" s="25"/>
      <x:c r="T210" s="25"/>
      <x:c r="U210" s="25"/>
      <x:c r="V210" s="25"/>
      <x:c r="W210" s="25"/>
      <x:c r="X210" s="25"/>
      <x:c r="Y210" s="25"/>
      <x:c r="Z210" s="25"/>
    </x:row>
    <x:row r="211">
      <x:c r="A211" s="25"/>
      <x:c r="B211" s="25"/>
      <x:c r="C211" s="25"/>
      <x:c r="D211" s="25"/>
      <x:c r="E211" s="25"/>
      <x:c r="F211" s="25"/>
      <x:c r="G211" s="25"/>
      <x:c r="H211" s="25"/>
      <x:c r="I211" s="25"/>
      <x:c r="J211" s="25"/>
      <x:c r="K211" s="25"/>
      <x:c r="L211" s="25"/>
      <x:c r="M211" s="25"/>
      <x:c r="N211" s="25"/>
      <x:c r="O211" s="25"/>
      <x:c r="P211" s="25"/>
      <x:c r="Q211" s="25"/>
      <x:c r="R211" s="25"/>
      <x:c r="S211" s="25"/>
      <x:c r="T211" s="25"/>
      <x:c r="U211" s="25"/>
      <x:c r="V211" s="25"/>
      <x:c r="W211" s="25"/>
      <x:c r="X211" s="25"/>
      <x:c r="Y211" s="25"/>
      <x:c r="Z211" s="25"/>
    </x:row>
    <x:row r="212">
      <x:c r="A212" s="25"/>
      <x:c r="B212" s="25"/>
      <x:c r="C212" s="25"/>
      <x:c r="D212" s="25"/>
      <x:c r="E212" s="25"/>
      <x:c r="F212" s="25"/>
      <x:c r="G212" s="25"/>
      <x:c r="H212" s="25"/>
      <x:c r="I212" s="25"/>
      <x:c r="J212" s="25"/>
      <x:c r="K212" s="25"/>
      <x:c r="L212" s="25"/>
      <x:c r="M212" s="25"/>
      <x:c r="N212" s="25"/>
      <x:c r="O212" s="25"/>
      <x:c r="P212" s="25"/>
      <x:c r="Q212" s="25"/>
      <x:c r="R212" s="25"/>
      <x:c r="S212" s="25"/>
      <x:c r="T212" s="25"/>
      <x:c r="U212" s="25"/>
      <x:c r="V212" s="25"/>
      <x:c r="W212" s="25"/>
      <x:c r="X212" s="25"/>
      <x:c r="Y212" s="25"/>
      <x:c r="Z212" s="25"/>
    </x:row>
    <x:row r="213">
      <x:c r="A213" s="25"/>
      <x:c r="B213" s="25"/>
      <x:c r="C213" s="25"/>
      <x:c r="D213" s="25"/>
      <x:c r="E213" s="25"/>
      <x:c r="F213" s="25"/>
      <x:c r="G213" s="25"/>
      <x:c r="H213" s="25"/>
      <x:c r="I213" s="25"/>
      <x:c r="J213" s="25"/>
      <x:c r="K213" s="25"/>
      <x:c r="L213" s="25"/>
      <x:c r="M213" s="25"/>
      <x:c r="N213" s="25"/>
      <x:c r="O213" s="25"/>
      <x:c r="P213" s="25"/>
      <x:c r="Q213" s="25"/>
      <x:c r="R213" s="25"/>
      <x:c r="S213" s="25"/>
      <x:c r="T213" s="25"/>
      <x:c r="U213" s="25"/>
      <x:c r="V213" s="25"/>
      <x:c r="W213" s="25"/>
      <x:c r="X213" s="25"/>
      <x:c r="Y213" s="25"/>
      <x:c r="Z213" s="25"/>
    </x:row>
    <x:row r="214">
      <x:c r="A214" s="25"/>
      <x:c r="B214" s="25"/>
      <x:c r="C214" s="25"/>
      <x:c r="D214" s="25"/>
      <x:c r="E214" s="25"/>
      <x:c r="F214" s="25"/>
      <x:c r="G214" s="25"/>
      <x:c r="H214" s="25"/>
      <x:c r="I214" s="25"/>
      <x:c r="J214" s="25"/>
      <x:c r="K214" s="25"/>
      <x:c r="L214" s="25"/>
      <x:c r="M214" s="25"/>
      <x:c r="N214" s="25"/>
      <x:c r="O214" s="25"/>
      <x:c r="P214" s="25"/>
      <x:c r="Q214" s="25"/>
      <x:c r="R214" s="25"/>
      <x:c r="S214" s="25"/>
      <x:c r="T214" s="25"/>
      <x:c r="U214" s="25"/>
      <x:c r="V214" s="25"/>
      <x:c r="W214" s="25"/>
      <x:c r="X214" s="25"/>
      <x:c r="Y214" s="25"/>
      <x:c r="Z214" s="25"/>
    </x:row>
    <x:row r="215">
      <x:c r="A215" s="25"/>
      <x:c r="B215" s="25"/>
      <x:c r="C215" s="25"/>
      <x:c r="D215" s="25"/>
      <x:c r="E215" s="25"/>
      <x:c r="F215" s="25"/>
      <x:c r="G215" s="25"/>
      <x:c r="H215" s="25"/>
      <x:c r="I215" s="25"/>
      <x:c r="J215" s="25"/>
      <x:c r="K215" s="25"/>
      <x:c r="L215" s="25"/>
      <x:c r="M215" s="25"/>
      <x:c r="N215" s="25"/>
      <x:c r="O215" s="25"/>
      <x:c r="P215" s="25"/>
      <x:c r="Q215" s="25"/>
      <x:c r="R215" s="25"/>
      <x:c r="S215" s="25"/>
      <x:c r="T215" s="25"/>
      <x:c r="U215" s="25"/>
      <x:c r="V215" s="25"/>
      <x:c r="W215" s="25"/>
      <x:c r="X215" s="25"/>
      <x:c r="Y215" s="25"/>
      <x:c r="Z215" s="25"/>
    </x:row>
    <x:row r="216">
      <x:c r="A216" s="25"/>
      <x:c r="B216" s="25"/>
      <x:c r="C216" s="25"/>
      <x:c r="D216" s="25"/>
      <x:c r="E216" s="25"/>
      <x:c r="F216" s="25"/>
      <x:c r="G216" s="25"/>
      <x:c r="H216" s="25"/>
      <x:c r="I216" s="25"/>
      <x:c r="J216" s="25"/>
      <x:c r="K216" s="25"/>
      <x:c r="L216" s="25"/>
      <x:c r="M216" s="25"/>
      <x:c r="N216" s="25"/>
      <x:c r="O216" s="25"/>
      <x:c r="P216" s="25"/>
      <x:c r="Q216" s="25"/>
      <x:c r="R216" s="25"/>
      <x:c r="S216" s="25"/>
      <x:c r="T216" s="25"/>
      <x:c r="U216" s="25"/>
      <x:c r="V216" s="25"/>
      <x:c r="W216" s="25"/>
      <x:c r="X216" s="25"/>
      <x:c r="Y216" s="25"/>
      <x:c r="Z216" s="25"/>
    </x:row>
    <x:row r="217">
      <x:c r="A217" s="25"/>
      <x:c r="B217" s="25"/>
      <x:c r="C217" s="25"/>
      <x:c r="D217" s="25"/>
      <x:c r="E217" s="25"/>
      <x:c r="F217" s="25"/>
      <x:c r="G217" s="25"/>
      <x:c r="H217" s="25"/>
      <x:c r="I217" s="25"/>
      <x:c r="J217" s="25"/>
      <x:c r="K217" s="25"/>
      <x:c r="L217" s="25"/>
      <x:c r="M217" s="25"/>
      <x:c r="N217" s="25"/>
      <x:c r="O217" s="25"/>
      <x:c r="P217" s="25"/>
      <x:c r="Q217" s="25"/>
      <x:c r="R217" s="25"/>
      <x:c r="S217" s="25"/>
      <x:c r="T217" s="25"/>
      <x:c r="U217" s="25"/>
      <x:c r="V217" s="25"/>
      <x:c r="W217" s="25"/>
      <x:c r="X217" s="25"/>
      <x:c r="Y217" s="25"/>
      <x:c r="Z217" s="25"/>
    </x:row>
    <x:row r="218">
      <x:c r="A218" s="25"/>
      <x:c r="B218" s="25"/>
      <x:c r="C218" s="25"/>
      <x:c r="D218" s="25"/>
      <x:c r="E218" s="25"/>
      <x:c r="F218" s="25"/>
      <x:c r="G218" s="25"/>
      <x:c r="H218" s="25"/>
      <x:c r="I218" s="25"/>
      <x:c r="J218" s="25"/>
      <x:c r="K218" s="25"/>
      <x:c r="L218" s="25"/>
      <x:c r="M218" s="25"/>
      <x:c r="N218" s="25"/>
      <x:c r="O218" s="25"/>
      <x:c r="P218" s="25"/>
      <x:c r="Q218" s="25"/>
      <x:c r="R218" s="25"/>
      <x:c r="S218" s="25"/>
      <x:c r="T218" s="25"/>
      <x:c r="U218" s="25"/>
      <x:c r="V218" s="25"/>
      <x:c r="W218" s="25"/>
      <x:c r="X218" s="25"/>
      <x:c r="Y218" s="25"/>
      <x:c r="Z218" s="25"/>
    </x:row>
    <x:row r="219">
      <x:c r="A219" s="25"/>
      <x:c r="B219" s="25"/>
      <x:c r="C219" s="25"/>
      <x:c r="D219" s="25"/>
      <x:c r="E219" s="25"/>
      <x:c r="F219" s="25"/>
      <x:c r="G219" s="25"/>
      <x:c r="H219" s="25"/>
      <x:c r="I219" s="25"/>
      <x:c r="J219" s="25"/>
      <x:c r="K219" s="25"/>
      <x:c r="L219" s="25"/>
      <x:c r="M219" s="25"/>
      <x:c r="N219" s="25"/>
      <x:c r="O219" s="25"/>
      <x:c r="P219" s="25"/>
      <x:c r="Q219" s="25"/>
      <x:c r="R219" s="25"/>
      <x:c r="S219" s="25"/>
      <x:c r="T219" s="25"/>
      <x:c r="U219" s="25"/>
      <x:c r="V219" s="25"/>
      <x:c r="W219" s="25"/>
      <x:c r="X219" s="25"/>
      <x:c r="Y219" s="25"/>
      <x:c r="Z219" s="25"/>
    </x:row>
    <x:row r="220">
      <x:c r="A220" s="25"/>
      <x:c r="B220" s="25"/>
      <x:c r="C220" s="25"/>
      <x:c r="D220" s="25"/>
      <x:c r="E220" s="25"/>
      <x:c r="F220" s="25"/>
      <x:c r="G220" s="25"/>
      <x:c r="H220" s="25"/>
      <x:c r="I220" s="25"/>
      <x:c r="J220" s="25"/>
      <x:c r="K220" s="25"/>
      <x:c r="L220" s="25"/>
      <x:c r="M220" s="25"/>
      <x:c r="N220" s="25"/>
      <x:c r="O220" s="25"/>
      <x:c r="P220" s="25"/>
      <x:c r="Q220" s="25"/>
      <x:c r="R220" s="25"/>
      <x:c r="S220" s="25"/>
      <x:c r="T220" s="25"/>
      <x:c r="U220" s="25"/>
      <x:c r="V220" s="25"/>
      <x:c r="W220" s="25"/>
      <x:c r="X220" s="25"/>
      <x:c r="Y220" s="25"/>
      <x:c r="Z220" s="25"/>
    </x:row>
    <x:row r="221">
      <x:c r="A221" s="25"/>
      <x:c r="B221" s="25"/>
      <x:c r="C221" s="25"/>
      <x:c r="D221" s="25"/>
      <x:c r="E221" s="25"/>
      <x:c r="F221" s="25"/>
      <x:c r="G221" s="25"/>
      <x:c r="H221" s="25"/>
      <x:c r="I221" s="25"/>
      <x:c r="J221" s="25"/>
      <x:c r="K221" s="25"/>
      <x:c r="L221" s="25"/>
      <x:c r="M221" s="25"/>
      <x:c r="N221" s="25"/>
      <x:c r="O221" s="25"/>
      <x:c r="P221" s="25"/>
      <x:c r="Q221" s="25"/>
      <x:c r="R221" s="25"/>
      <x:c r="S221" s="25"/>
      <x:c r="T221" s="25"/>
      <x:c r="U221" s="25"/>
      <x:c r="V221" s="25"/>
      <x:c r="W221" s="25"/>
      <x:c r="X221" s="25"/>
      <x:c r="Y221" s="25"/>
      <x:c r="Z221" s="25"/>
    </x:row>
    <x:row r="222">
      <x:c r="A222" s="25"/>
      <x:c r="B222" s="25"/>
      <x:c r="C222" s="25"/>
      <x:c r="D222" s="25"/>
      <x:c r="E222" s="25"/>
      <x:c r="F222" s="25"/>
      <x:c r="G222" s="25"/>
      <x:c r="H222" s="25"/>
      <x:c r="I222" s="25"/>
      <x:c r="J222" s="25"/>
      <x:c r="K222" s="25"/>
      <x:c r="L222" s="25"/>
      <x:c r="M222" s="25"/>
      <x:c r="N222" s="25"/>
      <x:c r="O222" s="25"/>
      <x:c r="P222" s="25"/>
      <x:c r="Q222" s="25"/>
      <x:c r="R222" s="25"/>
      <x:c r="S222" s="25"/>
      <x:c r="T222" s="25"/>
      <x:c r="U222" s="25"/>
      <x:c r="V222" s="25"/>
      <x:c r="W222" s="25"/>
      <x:c r="X222" s="25"/>
      <x:c r="Y222" s="25"/>
      <x:c r="Z222" s="25"/>
    </x:row>
    <x:row r="223">
      <x:c r="A223" s="25"/>
      <x:c r="B223" s="25"/>
      <x:c r="C223" s="25"/>
      <x:c r="D223" s="25"/>
      <x:c r="E223" s="25"/>
      <x:c r="F223" s="25"/>
      <x:c r="G223" s="25"/>
      <x:c r="H223" s="25"/>
      <x:c r="I223" s="25"/>
      <x:c r="J223" s="25"/>
      <x:c r="K223" s="25"/>
      <x:c r="L223" s="25"/>
      <x:c r="M223" s="25"/>
      <x:c r="N223" s="25"/>
      <x:c r="O223" s="25"/>
      <x:c r="P223" s="25"/>
      <x:c r="Q223" s="25"/>
      <x:c r="R223" s="25"/>
      <x:c r="S223" s="25"/>
      <x:c r="T223" s="25"/>
      <x:c r="U223" s="25"/>
      <x:c r="V223" s="25"/>
      <x:c r="W223" s="25"/>
      <x:c r="X223" s="25"/>
      <x:c r="Y223" s="25"/>
      <x:c r="Z223" s="25"/>
    </x:row>
    <x:row r="224">
      <x:c r="A224" s="25"/>
      <x:c r="B224" s="25"/>
      <x:c r="C224" s="25"/>
      <x:c r="D224" s="25"/>
      <x:c r="E224" s="25"/>
      <x:c r="F224" s="25"/>
      <x:c r="G224" s="25"/>
      <x:c r="H224" s="25"/>
      <x:c r="I224" s="25"/>
      <x:c r="J224" s="25"/>
      <x:c r="K224" s="25"/>
      <x:c r="L224" s="25"/>
      <x:c r="M224" s="25"/>
      <x:c r="N224" s="25"/>
      <x:c r="O224" s="25"/>
      <x:c r="P224" s="25"/>
      <x:c r="Q224" s="25"/>
      <x:c r="R224" s="25"/>
      <x:c r="S224" s="25"/>
      <x:c r="T224" s="25"/>
      <x:c r="U224" s="25"/>
      <x:c r="V224" s="25"/>
      <x:c r="W224" s="25"/>
      <x:c r="X224" s="25"/>
      <x:c r="Y224" s="25"/>
      <x:c r="Z224" s="25"/>
    </x:row>
    <x:row r="225">
      <x:c r="A225" s="25"/>
      <x:c r="B225" s="25"/>
      <x:c r="C225" s="25"/>
      <x:c r="D225" s="25"/>
      <x:c r="E225" s="25"/>
      <x:c r="F225" s="25"/>
      <x:c r="G225" s="25"/>
      <x:c r="H225" s="25"/>
      <x:c r="I225" s="25"/>
      <x:c r="J225" s="25"/>
      <x:c r="K225" s="25"/>
      <x:c r="L225" s="25"/>
      <x:c r="M225" s="25"/>
      <x:c r="N225" s="25"/>
      <x:c r="O225" s="25"/>
      <x:c r="P225" s="25"/>
      <x:c r="Q225" s="25"/>
      <x:c r="R225" s="25"/>
      <x:c r="S225" s="25"/>
      <x:c r="T225" s="25"/>
      <x:c r="U225" s="25"/>
      <x:c r="V225" s="25"/>
      <x:c r="W225" s="25"/>
      <x:c r="X225" s="25"/>
      <x:c r="Y225" s="25"/>
      <x:c r="Z225" s="25"/>
    </x:row>
    <x:row r="226">
      <x:c r="A226" s="25"/>
      <x:c r="B226" s="25"/>
      <x:c r="C226" s="25"/>
      <x:c r="D226" s="25"/>
      <x:c r="E226" s="25"/>
      <x:c r="F226" s="25"/>
      <x:c r="G226" s="25"/>
      <x:c r="H226" s="25"/>
      <x:c r="I226" s="25"/>
      <x:c r="J226" s="25"/>
      <x:c r="K226" s="25"/>
      <x:c r="L226" s="25"/>
      <x:c r="M226" s="25"/>
      <x:c r="N226" s="25"/>
      <x:c r="O226" s="25"/>
      <x:c r="P226" s="25"/>
      <x:c r="Q226" s="25"/>
      <x:c r="R226" s="25"/>
      <x:c r="S226" s="25"/>
      <x:c r="T226" s="25"/>
      <x:c r="U226" s="25"/>
      <x:c r="V226" s="25"/>
      <x:c r="W226" s="25"/>
      <x:c r="X226" s="25"/>
      <x:c r="Y226" s="25"/>
      <x:c r="Z226" s="25"/>
    </x:row>
    <x:row r="227">
      <x:c r="A227" s="25"/>
      <x:c r="B227" s="25"/>
      <x:c r="C227" s="25"/>
      <x:c r="D227" s="25"/>
      <x:c r="E227" s="25"/>
      <x:c r="F227" s="25"/>
      <x:c r="G227" s="25"/>
      <x:c r="H227" s="25"/>
      <x:c r="I227" s="25"/>
      <x:c r="J227" s="25"/>
      <x:c r="K227" s="25"/>
      <x:c r="L227" s="25"/>
      <x:c r="M227" s="25"/>
      <x:c r="N227" s="25"/>
      <x:c r="O227" s="25"/>
      <x:c r="P227" s="25"/>
      <x:c r="Q227" s="25"/>
      <x:c r="R227" s="25"/>
      <x:c r="S227" s="25"/>
      <x:c r="T227" s="25"/>
      <x:c r="U227" s="25"/>
      <x:c r="V227" s="25"/>
      <x:c r="W227" s="25"/>
      <x:c r="X227" s="25"/>
      <x:c r="Y227" s="25"/>
      <x:c r="Z227" s="25"/>
    </x:row>
    <x:row r="228">
      <x:c r="A228" s="25"/>
      <x:c r="B228" s="25"/>
      <x:c r="C228" s="25"/>
      <x:c r="D228" s="25"/>
      <x:c r="E228" s="25"/>
      <x:c r="F228" s="25"/>
      <x:c r="G228" s="25"/>
      <x:c r="H228" s="25"/>
      <x:c r="I228" s="25"/>
      <x:c r="J228" s="25"/>
      <x:c r="K228" s="25"/>
      <x:c r="L228" s="25"/>
      <x:c r="M228" s="25"/>
      <x:c r="N228" s="25"/>
      <x:c r="O228" s="25"/>
      <x:c r="P228" s="25"/>
      <x:c r="Q228" s="25"/>
      <x:c r="R228" s="25"/>
      <x:c r="S228" s="25"/>
      <x:c r="T228" s="25"/>
      <x:c r="U228" s="25"/>
      <x:c r="V228" s="25"/>
      <x:c r="W228" s="25"/>
      <x:c r="X228" s="25"/>
      <x:c r="Y228" s="25"/>
      <x:c r="Z228" s="25"/>
    </x:row>
    <x:row r="229">
      <x:c r="A229" s="25"/>
      <x:c r="B229" s="25"/>
      <x:c r="C229" s="25"/>
      <x:c r="D229" s="25"/>
      <x:c r="E229" s="25"/>
      <x:c r="F229" s="25"/>
      <x:c r="G229" s="25"/>
      <x:c r="H229" s="25"/>
      <x:c r="I229" s="25"/>
      <x:c r="J229" s="25"/>
      <x:c r="K229" s="25"/>
      <x:c r="L229" s="25"/>
      <x:c r="M229" s="25"/>
      <x:c r="N229" s="25"/>
      <x:c r="O229" s="25"/>
      <x:c r="P229" s="25"/>
      <x:c r="Q229" s="25"/>
      <x:c r="R229" s="25"/>
      <x:c r="S229" s="25"/>
      <x:c r="T229" s="25"/>
      <x:c r="U229" s="25"/>
      <x:c r="V229" s="25"/>
      <x:c r="W229" s="25"/>
      <x:c r="X229" s="25"/>
      <x:c r="Y229" s="25"/>
      <x:c r="Z229" s="25"/>
    </x:row>
    <x:row r="230">
      <x:c r="A230" s="25"/>
      <x:c r="B230" s="25"/>
      <x:c r="C230" s="25"/>
      <x:c r="D230" s="25"/>
      <x:c r="E230" s="25"/>
      <x:c r="F230" s="25"/>
      <x:c r="G230" s="25"/>
      <x:c r="H230" s="25"/>
      <x:c r="I230" s="25"/>
      <x:c r="J230" s="25"/>
      <x:c r="K230" s="25"/>
      <x:c r="L230" s="25"/>
      <x:c r="M230" s="25"/>
      <x:c r="N230" s="25"/>
      <x:c r="O230" s="25"/>
      <x:c r="P230" s="25"/>
      <x:c r="Q230" s="25"/>
      <x:c r="R230" s="25"/>
      <x:c r="S230" s="25"/>
      <x:c r="T230" s="25"/>
      <x:c r="U230" s="25"/>
      <x:c r="V230" s="25"/>
      <x:c r="W230" s="25"/>
      <x:c r="X230" s="25"/>
      <x:c r="Y230" s="25"/>
      <x:c r="Z230" s="25"/>
    </x:row>
    <x:row r="231">
      <x:c r="A231" s="25"/>
      <x:c r="B231" s="25"/>
      <x:c r="C231" s="25"/>
      <x:c r="D231" s="25"/>
      <x:c r="E231" s="25"/>
      <x:c r="F231" s="25"/>
      <x:c r="G231" s="25"/>
      <x:c r="H231" s="25"/>
      <x:c r="I231" s="25"/>
      <x:c r="J231" s="25"/>
      <x:c r="K231" s="25"/>
      <x:c r="L231" s="25"/>
      <x:c r="M231" s="25"/>
      <x:c r="N231" s="25"/>
      <x:c r="O231" s="25"/>
      <x:c r="P231" s="25"/>
      <x:c r="Q231" s="25"/>
      <x:c r="R231" s="25"/>
      <x:c r="S231" s="25"/>
      <x:c r="T231" s="25"/>
      <x:c r="U231" s="25"/>
      <x:c r="V231" s="25"/>
      <x:c r="W231" s="25"/>
      <x:c r="X231" s="25"/>
      <x:c r="Y231" s="25"/>
      <x:c r="Z231" s="25"/>
    </x:row>
    <x:row r="232">
      <x:c r="A232" s="25"/>
      <x:c r="B232" s="25"/>
      <x:c r="C232" s="25"/>
      <x:c r="D232" s="25"/>
      <x:c r="E232" s="25"/>
      <x:c r="F232" s="25"/>
      <x:c r="G232" s="25"/>
      <x:c r="H232" s="25"/>
      <x:c r="I232" s="25"/>
      <x:c r="J232" s="25"/>
      <x:c r="K232" s="25"/>
      <x:c r="L232" s="25"/>
      <x:c r="M232" s="25"/>
      <x:c r="N232" s="25"/>
      <x:c r="O232" s="25"/>
      <x:c r="P232" s="25"/>
      <x:c r="Q232" s="25"/>
      <x:c r="R232" s="25"/>
      <x:c r="S232" s="25"/>
      <x:c r="T232" s="25"/>
      <x:c r="U232" s="25"/>
      <x:c r="V232" s="25"/>
      <x:c r="W232" s="25"/>
      <x:c r="X232" s="25"/>
      <x:c r="Y232" s="25"/>
      <x:c r="Z232" s="25"/>
    </x:row>
    <x:row r="233">
      <x:c r="A233" s="25"/>
      <x:c r="B233" s="25"/>
      <x:c r="C233" s="25"/>
      <x:c r="D233" s="25"/>
      <x:c r="E233" s="25"/>
      <x:c r="F233" s="25"/>
      <x:c r="G233" s="25"/>
      <x:c r="H233" s="25"/>
      <x:c r="I233" s="25"/>
      <x:c r="J233" s="25"/>
      <x:c r="K233" s="25"/>
      <x:c r="L233" s="25"/>
      <x:c r="M233" s="25"/>
      <x:c r="N233" s="25"/>
      <x:c r="O233" s="25"/>
      <x:c r="P233" s="25"/>
      <x:c r="Q233" s="25"/>
      <x:c r="R233" s="25"/>
      <x:c r="S233" s="25"/>
      <x:c r="T233" s="25"/>
      <x:c r="U233" s="25"/>
      <x:c r="V233" s="25"/>
      <x:c r="W233" s="25"/>
      <x:c r="X233" s="25"/>
      <x:c r="Y233" s="25"/>
      <x:c r="Z233" s="25"/>
    </x:row>
    <x:row r="234">
      <x:c r="A234" s="25"/>
      <x:c r="B234" s="25"/>
      <x:c r="C234" s="25"/>
      <x:c r="D234" s="25"/>
      <x:c r="E234" s="25"/>
      <x:c r="F234" s="25"/>
      <x:c r="G234" s="25"/>
      <x:c r="H234" s="25"/>
      <x:c r="I234" s="25"/>
      <x:c r="J234" s="25"/>
      <x:c r="K234" s="25"/>
      <x:c r="L234" s="25"/>
      <x:c r="M234" s="25"/>
      <x:c r="N234" s="25"/>
      <x:c r="O234" s="25"/>
      <x:c r="P234" s="25"/>
      <x:c r="Q234" s="25"/>
      <x:c r="R234" s="25"/>
      <x:c r="S234" s="25"/>
      <x:c r="T234" s="25"/>
      <x:c r="U234" s="25"/>
      <x:c r="V234" s="25"/>
      <x:c r="W234" s="25"/>
      <x:c r="X234" s="25"/>
      <x:c r="Y234" s="25"/>
      <x:c r="Z234" s="25"/>
    </x:row>
    <x:row r="235">
      <x:c r="A235" s="25"/>
      <x:c r="B235" s="25"/>
      <x:c r="C235" s="25"/>
      <x:c r="D235" s="25"/>
      <x:c r="E235" s="25"/>
      <x:c r="F235" s="25"/>
      <x:c r="G235" s="25"/>
      <x:c r="H235" s="25"/>
      <x:c r="I235" s="25"/>
      <x:c r="J235" s="25"/>
      <x:c r="K235" s="25"/>
      <x:c r="L235" s="25"/>
      <x:c r="M235" s="25"/>
      <x:c r="N235" s="25"/>
      <x:c r="O235" s="25"/>
      <x:c r="P235" s="25"/>
      <x:c r="Q235" s="25"/>
      <x:c r="R235" s="25"/>
      <x:c r="S235" s="25"/>
      <x:c r="T235" s="25"/>
      <x:c r="U235" s="25"/>
      <x:c r="V235" s="25"/>
      <x:c r="W235" s="25"/>
      <x:c r="X235" s="25"/>
      <x:c r="Y235" s="25"/>
      <x:c r="Z235" s="25"/>
    </x:row>
    <x:row r="236">
      <x:c r="A236" s="25"/>
      <x:c r="B236" s="25"/>
      <x:c r="C236" s="25"/>
      <x:c r="D236" s="25"/>
      <x:c r="E236" s="25"/>
      <x:c r="F236" s="25"/>
      <x:c r="G236" s="25"/>
      <x:c r="H236" s="25"/>
      <x:c r="I236" s="25"/>
      <x:c r="J236" s="25"/>
      <x:c r="K236" s="25"/>
      <x:c r="L236" s="25"/>
      <x:c r="M236" s="25"/>
      <x:c r="N236" s="25"/>
      <x:c r="O236" s="25"/>
      <x:c r="P236" s="25"/>
      <x:c r="Q236" s="25"/>
      <x:c r="R236" s="25"/>
      <x:c r="S236" s="25"/>
      <x:c r="T236" s="25"/>
      <x:c r="U236" s="25"/>
      <x:c r="V236" s="25"/>
      <x:c r="W236" s="25"/>
      <x:c r="X236" s="25"/>
      <x:c r="Y236" s="25"/>
      <x:c r="Z236" s="25"/>
    </x:row>
    <x:row r="237">
      <x:c r="A237" s="25"/>
      <x:c r="B237" s="25"/>
      <x:c r="C237" s="25"/>
      <x:c r="D237" s="25"/>
      <x:c r="E237" s="25"/>
      <x:c r="F237" s="25"/>
      <x:c r="G237" s="25"/>
      <x:c r="H237" s="25"/>
      <x:c r="I237" s="25"/>
      <x:c r="J237" s="25"/>
      <x:c r="K237" s="25"/>
      <x:c r="L237" s="25"/>
      <x:c r="M237" s="25"/>
      <x:c r="N237" s="25"/>
      <x:c r="O237" s="25"/>
      <x:c r="P237" s="25"/>
      <x:c r="Q237" s="25"/>
      <x:c r="R237" s="25"/>
      <x:c r="S237" s="25"/>
      <x:c r="T237" s="25"/>
      <x:c r="U237" s="25"/>
      <x:c r="V237" s="25"/>
      <x:c r="W237" s="25"/>
      <x:c r="X237" s="25"/>
      <x:c r="Y237" s="25"/>
      <x:c r="Z237" s="25"/>
    </x:row>
    <x:row r="238">
      <x:c r="A238" s="25"/>
      <x:c r="B238" s="25"/>
      <x:c r="C238" s="25"/>
      <x:c r="D238" s="25"/>
      <x:c r="E238" s="25"/>
      <x:c r="F238" s="25"/>
      <x:c r="G238" s="25"/>
      <x:c r="H238" s="25"/>
      <x:c r="I238" s="25"/>
      <x:c r="J238" s="25"/>
      <x:c r="K238" s="25"/>
      <x:c r="L238" s="25"/>
      <x:c r="M238" s="25"/>
      <x:c r="N238" s="25"/>
      <x:c r="O238" s="25"/>
      <x:c r="P238" s="25"/>
      <x:c r="Q238" s="25"/>
      <x:c r="R238" s="25"/>
      <x:c r="S238" s="25"/>
      <x:c r="T238" s="25"/>
      <x:c r="U238" s="25"/>
      <x:c r="V238" s="25"/>
      <x:c r="W238" s="25"/>
      <x:c r="X238" s="25"/>
      <x:c r="Y238" s="25"/>
      <x:c r="Z238" s="25"/>
    </x:row>
    <x:row r="239">
      <x:c r="A239" s="25"/>
      <x:c r="B239" s="25"/>
      <x:c r="C239" s="25"/>
      <x:c r="D239" s="25"/>
      <x:c r="E239" s="25"/>
      <x:c r="F239" s="25"/>
      <x:c r="G239" s="25"/>
      <x:c r="H239" s="25"/>
      <x:c r="I239" s="25"/>
      <x:c r="J239" s="25"/>
      <x:c r="K239" s="25"/>
      <x:c r="L239" s="25"/>
      <x:c r="M239" s="25"/>
      <x:c r="N239" s="25"/>
      <x:c r="O239" s="25"/>
      <x:c r="P239" s="25"/>
      <x:c r="Q239" s="25"/>
      <x:c r="R239" s="25"/>
      <x:c r="S239" s="25"/>
      <x:c r="T239" s="25"/>
      <x:c r="U239" s="25"/>
      <x:c r="V239" s="25"/>
      <x:c r="W239" s="25"/>
      <x:c r="X239" s="25"/>
      <x:c r="Y239" s="25"/>
      <x:c r="Z239" s="25"/>
    </x:row>
    <x:row r="240">
      <x:c r="A240" s="25"/>
      <x:c r="B240" s="25"/>
      <x:c r="C240" s="25"/>
      <x:c r="D240" s="25"/>
      <x:c r="E240" s="25"/>
      <x:c r="F240" s="25"/>
      <x:c r="G240" s="25"/>
      <x:c r="H240" s="25"/>
      <x:c r="I240" s="25"/>
      <x:c r="J240" s="25"/>
      <x:c r="K240" s="25"/>
      <x:c r="L240" s="25"/>
      <x:c r="M240" s="25"/>
      <x:c r="N240" s="25"/>
      <x:c r="O240" s="25"/>
      <x:c r="P240" s="25"/>
      <x:c r="Q240" s="25"/>
      <x:c r="R240" s="25"/>
      <x:c r="S240" s="25"/>
      <x:c r="T240" s="25"/>
      <x:c r="U240" s="25"/>
      <x:c r="V240" s="25"/>
      <x:c r="W240" s="25"/>
      <x:c r="X240" s="25"/>
      <x:c r="Y240" s="25"/>
      <x:c r="Z240" s="25"/>
    </x:row>
    <x:row r="241">
      <x:c r="A241" s="25"/>
      <x:c r="B241" s="25"/>
      <x:c r="C241" s="25"/>
      <x:c r="D241" s="25"/>
      <x:c r="E241" s="25"/>
      <x:c r="F241" s="25"/>
      <x:c r="G241" s="25"/>
      <x:c r="H241" s="25"/>
      <x:c r="I241" s="25"/>
      <x:c r="J241" s="25"/>
      <x:c r="K241" s="25"/>
      <x:c r="L241" s="25"/>
      <x:c r="M241" s="25"/>
      <x:c r="N241" s="25"/>
      <x:c r="O241" s="25"/>
      <x:c r="P241" s="25"/>
      <x:c r="Q241" s="25"/>
      <x:c r="R241" s="25"/>
      <x:c r="S241" s="25"/>
      <x:c r="T241" s="25"/>
      <x:c r="U241" s="25"/>
      <x:c r="V241" s="25"/>
      <x:c r="W241" s="25"/>
      <x:c r="X241" s="25"/>
      <x:c r="Y241" s="25"/>
      <x:c r="Z241" s="25"/>
    </x:row>
    <x:row r="242">
      <x:c r="A242" s="25"/>
      <x:c r="B242" s="25"/>
      <x:c r="C242" s="25"/>
      <x:c r="D242" s="25"/>
      <x:c r="E242" s="25"/>
      <x:c r="F242" s="25"/>
      <x:c r="G242" s="25"/>
      <x:c r="H242" s="25"/>
      <x:c r="I242" s="25"/>
      <x:c r="J242" s="25"/>
      <x:c r="K242" s="25"/>
      <x:c r="L242" s="25"/>
      <x:c r="M242" s="25"/>
      <x:c r="N242" s="25"/>
      <x:c r="O242" s="25"/>
      <x:c r="P242" s="25"/>
      <x:c r="Q242" s="25"/>
      <x:c r="R242" s="25"/>
      <x:c r="S242" s="25"/>
      <x:c r="T242" s="25"/>
      <x:c r="U242" s="25"/>
      <x:c r="V242" s="25"/>
      <x:c r="W242" s="25"/>
      <x:c r="X242" s="25"/>
      <x:c r="Y242" s="25"/>
      <x:c r="Z242" s="25"/>
    </x:row>
    <x:row r="243">
      <x:c r="A243" s="25"/>
      <x:c r="B243" s="25"/>
      <x:c r="C243" s="25"/>
      <x:c r="D243" s="25"/>
      <x:c r="E243" s="25"/>
      <x:c r="F243" s="25"/>
      <x:c r="G243" s="25"/>
      <x:c r="H243" s="25"/>
      <x:c r="I243" s="25"/>
      <x:c r="J243" s="25"/>
      <x:c r="K243" s="25"/>
      <x:c r="L243" s="25"/>
      <x:c r="M243" s="25"/>
      <x:c r="N243" s="25"/>
      <x:c r="O243" s="25"/>
      <x:c r="P243" s="25"/>
      <x:c r="Q243" s="25"/>
      <x:c r="R243" s="25"/>
      <x:c r="S243" s="25"/>
      <x:c r="T243" s="25"/>
      <x:c r="U243" s="25"/>
      <x:c r="V243" s="25"/>
      <x:c r="W243" s="25"/>
      <x:c r="X243" s="25"/>
      <x:c r="Y243" s="25"/>
      <x:c r="Z243" s="25"/>
    </x:row>
    <x:row r="244">
      <x:c r="A244" s="25"/>
      <x:c r="B244" s="25"/>
      <x:c r="C244" s="25"/>
      <x:c r="D244" s="25"/>
      <x:c r="E244" s="25"/>
      <x:c r="F244" s="25"/>
      <x:c r="G244" s="25"/>
      <x:c r="H244" s="25"/>
      <x:c r="I244" s="25"/>
      <x:c r="J244" s="25"/>
      <x:c r="K244" s="25"/>
      <x:c r="L244" s="25"/>
      <x:c r="M244" s="25"/>
      <x:c r="N244" s="25"/>
      <x:c r="O244" s="25"/>
      <x:c r="P244" s="25"/>
      <x:c r="Q244" s="25"/>
      <x:c r="R244" s="25"/>
      <x:c r="S244" s="25"/>
      <x:c r="T244" s="25"/>
      <x:c r="U244" s="25"/>
      <x:c r="V244" s="25"/>
      <x:c r="W244" s="25"/>
      <x:c r="X244" s="25"/>
      <x:c r="Y244" s="25"/>
      <x:c r="Z244" s="25"/>
    </x:row>
    <x:row r="245">
      <x:c r="A245" s="25"/>
      <x:c r="B245" s="25"/>
      <x:c r="C245" s="25"/>
      <x:c r="D245" s="25"/>
      <x:c r="E245" s="25"/>
      <x:c r="F245" s="25"/>
      <x:c r="G245" s="25"/>
      <x:c r="H245" s="25"/>
      <x:c r="I245" s="25"/>
      <x:c r="J245" s="25"/>
      <x:c r="K245" s="25"/>
      <x:c r="L245" s="25"/>
      <x:c r="M245" s="25"/>
      <x:c r="N245" s="25"/>
      <x:c r="O245" s="25"/>
      <x:c r="P245" s="25"/>
      <x:c r="Q245" s="25"/>
      <x:c r="R245" s="25"/>
      <x:c r="S245" s="25"/>
      <x:c r="T245" s="25"/>
      <x:c r="U245" s="25"/>
      <x:c r="V245" s="25"/>
      <x:c r="W245" s="25"/>
      <x:c r="X245" s="25"/>
      <x:c r="Y245" s="25"/>
      <x:c r="Z245" s="25"/>
    </x:row>
    <x:row r="246">
      <x:c r="A246" s="25"/>
      <x:c r="B246" s="25"/>
      <x:c r="C246" s="25"/>
      <x:c r="D246" s="25"/>
      <x:c r="E246" s="25"/>
      <x:c r="F246" s="25"/>
      <x:c r="G246" s="25"/>
      <x:c r="H246" s="25"/>
      <x:c r="I246" s="25"/>
      <x:c r="J246" s="25"/>
      <x:c r="K246" s="25"/>
      <x:c r="L246" s="25"/>
      <x:c r="M246" s="25"/>
      <x:c r="N246" s="25"/>
      <x:c r="O246" s="25"/>
      <x:c r="P246" s="25"/>
      <x:c r="Q246" s="25"/>
      <x:c r="R246" s="25"/>
      <x:c r="S246" s="25"/>
      <x:c r="T246" s="25"/>
      <x:c r="U246" s="25"/>
      <x:c r="V246" s="25"/>
      <x:c r="W246" s="25"/>
      <x:c r="X246" s="25"/>
      <x:c r="Y246" s="25"/>
      <x:c r="Z246" s="25"/>
    </x:row>
    <x:row r="247">
      <x:c r="A247" s="25"/>
      <x:c r="B247" s="25"/>
      <x:c r="C247" s="25"/>
      <x:c r="D247" s="25"/>
      <x:c r="E247" s="25"/>
      <x:c r="F247" s="25"/>
      <x:c r="G247" s="25"/>
      <x:c r="H247" s="25"/>
      <x:c r="I247" s="25"/>
      <x:c r="J247" s="25"/>
      <x:c r="K247" s="25"/>
      <x:c r="L247" s="25"/>
      <x:c r="M247" s="25"/>
      <x:c r="N247" s="25"/>
      <x:c r="O247" s="25"/>
      <x:c r="P247" s="25"/>
      <x:c r="Q247" s="25"/>
      <x:c r="R247" s="25"/>
      <x:c r="S247" s="25"/>
      <x:c r="T247" s="25"/>
      <x:c r="U247" s="25"/>
      <x:c r="V247" s="25"/>
      <x:c r="W247" s="25"/>
      <x:c r="X247" s="25"/>
      <x:c r="Y247" s="25"/>
      <x:c r="Z247" s="25"/>
    </x:row>
    <x:row r="248">
      <x:c r="A248" s="25"/>
      <x:c r="B248" s="25"/>
      <x:c r="C248" s="25"/>
      <x:c r="D248" s="25"/>
      <x:c r="E248" s="25"/>
      <x:c r="F248" s="25"/>
      <x:c r="G248" s="25"/>
      <x:c r="H248" s="25"/>
      <x:c r="I248" s="25"/>
      <x:c r="J248" s="25"/>
      <x:c r="K248" s="25"/>
      <x:c r="L248" s="25"/>
      <x:c r="M248" s="25"/>
      <x:c r="N248" s="25"/>
      <x:c r="O248" s="25"/>
      <x:c r="P248" s="25"/>
      <x:c r="Q248" s="25"/>
      <x:c r="R248" s="25"/>
      <x:c r="S248" s="25"/>
      <x:c r="T248" s="25"/>
      <x:c r="U248" s="25"/>
      <x:c r="V248" s="25"/>
      <x:c r="W248" s="25"/>
      <x:c r="X248" s="25"/>
      <x:c r="Y248" s="25"/>
      <x:c r="Z248" s="25"/>
    </x:row>
    <x:row r="249">
      <x:c r="A249" s="25"/>
      <x:c r="B249" s="25"/>
      <x:c r="C249" s="25"/>
      <x:c r="D249" s="25"/>
      <x:c r="E249" s="25"/>
      <x:c r="F249" s="25"/>
      <x:c r="G249" s="25"/>
      <x:c r="H249" s="25"/>
      <x:c r="I249" s="25"/>
      <x:c r="J249" s="25"/>
      <x:c r="K249" s="25"/>
      <x:c r="L249" s="25"/>
      <x:c r="M249" s="25"/>
      <x:c r="N249" s="25"/>
      <x:c r="O249" s="25"/>
      <x:c r="P249" s="25"/>
      <x:c r="Q249" s="25"/>
      <x:c r="R249" s="25"/>
      <x:c r="S249" s="25"/>
      <x:c r="T249" s="25"/>
      <x:c r="U249" s="25"/>
      <x:c r="V249" s="25"/>
      <x:c r="W249" s="25"/>
      <x:c r="X249" s="25"/>
      <x:c r="Y249" s="25"/>
      <x:c r="Z249" s="25"/>
    </x:row>
    <x:row r="250">
      <x:c r="A250" s="25"/>
      <x:c r="B250" s="25"/>
      <x:c r="C250" s="25"/>
      <x:c r="D250" s="25"/>
      <x:c r="E250" s="25"/>
      <x:c r="F250" s="25"/>
      <x:c r="G250" s="25"/>
      <x:c r="H250" s="25"/>
      <x:c r="I250" s="25"/>
      <x:c r="J250" s="25"/>
      <x:c r="K250" s="25"/>
      <x:c r="L250" s="25"/>
      <x:c r="M250" s="25"/>
      <x:c r="N250" s="25"/>
      <x:c r="O250" s="25"/>
      <x:c r="P250" s="25"/>
      <x:c r="Q250" s="25"/>
      <x:c r="R250" s="25"/>
      <x:c r="S250" s="25"/>
      <x:c r="T250" s="25"/>
      <x:c r="U250" s="25"/>
      <x:c r="V250" s="25"/>
      <x:c r="W250" s="25"/>
      <x:c r="X250" s="25"/>
      <x:c r="Y250" s="25"/>
      <x:c r="Z250" s="25"/>
    </x:row>
    <x:row r="251">
      <x:c r="A251" s="25"/>
      <x:c r="B251" s="25"/>
      <x:c r="C251" s="25"/>
      <x:c r="D251" s="25"/>
      <x:c r="E251" s="25"/>
      <x:c r="F251" s="25"/>
      <x:c r="G251" s="25"/>
      <x:c r="H251" s="25"/>
      <x:c r="I251" s="25"/>
      <x:c r="J251" s="25"/>
      <x:c r="K251" s="25"/>
      <x:c r="L251" s="25"/>
      <x:c r="M251" s="25"/>
      <x:c r="N251" s="25"/>
      <x:c r="O251" s="25"/>
      <x:c r="P251" s="25"/>
      <x:c r="Q251" s="25"/>
      <x:c r="R251" s="25"/>
      <x:c r="S251" s="25"/>
      <x:c r="T251" s="25"/>
      <x:c r="U251" s="25"/>
      <x:c r="V251" s="25"/>
      <x:c r="W251" s="25"/>
      <x:c r="X251" s="25"/>
      <x:c r="Y251" s="25"/>
      <x:c r="Z251" s="25"/>
    </x:row>
    <x:row r="252">
      <x:c r="A252" s="25"/>
      <x:c r="B252" s="25"/>
      <x:c r="C252" s="25"/>
      <x:c r="D252" s="25"/>
      <x:c r="E252" s="25"/>
      <x:c r="F252" s="25"/>
      <x:c r="G252" s="25"/>
      <x:c r="H252" s="25"/>
      <x:c r="I252" s="25"/>
      <x:c r="J252" s="25"/>
      <x:c r="K252" s="25"/>
      <x:c r="L252" s="25"/>
      <x:c r="M252" s="25"/>
      <x:c r="N252" s="25"/>
      <x:c r="O252" s="25"/>
      <x:c r="P252" s="25"/>
      <x:c r="Q252" s="25"/>
      <x:c r="R252" s="25"/>
      <x:c r="S252" s="25"/>
      <x:c r="T252" s="25"/>
      <x:c r="U252" s="25"/>
      <x:c r="V252" s="25"/>
      <x:c r="W252" s="25"/>
      <x:c r="X252" s="25"/>
      <x:c r="Y252" s="25"/>
      <x:c r="Z252" s="25"/>
    </x:row>
    <x:row r="253">
      <x:c r="A253" s="25"/>
      <x:c r="B253" s="25"/>
      <x:c r="C253" s="25"/>
      <x:c r="D253" s="25"/>
      <x:c r="E253" s="25"/>
      <x:c r="F253" s="25"/>
      <x:c r="G253" s="25"/>
      <x:c r="H253" s="25"/>
      <x:c r="I253" s="25"/>
      <x:c r="J253" s="25"/>
      <x:c r="K253" s="25"/>
      <x:c r="L253" s="25"/>
      <x:c r="M253" s="25"/>
      <x:c r="N253" s="25"/>
      <x:c r="O253" s="25"/>
      <x:c r="P253" s="25"/>
      <x:c r="Q253" s="25"/>
      <x:c r="R253" s="25"/>
      <x:c r="S253" s="25"/>
      <x:c r="T253" s="25"/>
      <x:c r="U253" s="25"/>
      <x:c r="V253" s="25"/>
      <x:c r="W253" s="25"/>
      <x:c r="X253" s="25"/>
      <x:c r="Y253" s="25"/>
      <x:c r="Z253" s="25"/>
    </x:row>
    <x:row r="254">
      <x:c r="A254" s="25"/>
      <x:c r="B254" s="25"/>
      <x:c r="C254" s="25"/>
      <x:c r="D254" s="25"/>
      <x:c r="E254" s="25"/>
      <x:c r="F254" s="25"/>
      <x:c r="G254" s="25"/>
      <x:c r="H254" s="25"/>
      <x:c r="I254" s="25"/>
      <x:c r="J254" s="25"/>
      <x:c r="K254" s="25"/>
      <x:c r="L254" s="25"/>
      <x:c r="M254" s="25"/>
      <x:c r="N254" s="25"/>
      <x:c r="O254" s="25"/>
      <x:c r="P254" s="25"/>
      <x:c r="Q254" s="25"/>
      <x:c r="R254" s="25"/>
      <x:c r="S254" s="25"/>
      <x:c r="T254" s="25"/>
      <x:c r="U254" s="25"/>
      <x:c r="V254" s="25"/>
      <x:c r="W254" s="25"/>
      <x:c r="X254" s="25"/>
      <x:c r="Y254" s="25"/>
      <x:c r="Z254" s="25"/>
    </x:row>
    <x:row r="255">
      <x:c r="A255" s="25"/>
      <x:c r="B255" s="25"/>
      <x:c r="C255" s="25"/>
      <x:c r="D255" s="25"/>
      <x:c r="E255" s="25"/>
      <x:c r="F255" s="25"/>
      <x:c r="G255" s="25"/>
      <x:c r="H255" s="25"/>
      <x:c r="I255" s="25"/>
      <x:c r="J255" s="25"/>
      <x:c r="K255" s="25"/>
      <x:c r="L255" s="25"/>
      <x:c r="M255" s="25"/>
      <x:c r="N255" s="25"/>
      <x:c r="O255" s="25"/>
      <x:c r="P255" s="25"/>
      <x:c r="Q255" s="25"/>
      <x:c r="R255" s="25"/>
      <x:c r="S255" s="25"/>
      <x:c r="T255" s="25"/>
      <x:c r="U255" s="25"/>
      <x:c r="V255" s="25"/>
      <x:c r="W255" s="25"/>
      <x:c r="X255" s="25"/>
      <x:c r="Y255" s="25"/>
      <x:c r="Z255" s="25"/>
    </x:row>
    <x:row r="256">
      <x:c r="A256" s="25"/>
      <x:c r="B256" s="25"/>
      <x:c r="C256" s="25"/>
      <x:c r="D256" s="25"/>
      <x:c r="E256" s="25"/>
      <x:c r="F256" s="25"/>
      <x:c r="G256" s="25"/>
      <x:c r="H256" s="25"/>
      <x:c r="I256" s="25"/>
      <x:c r="J256" s="25"/>
      <x:c r="K256" s="25"/>
      <x:c r="L256" s="25"/>
      <x:c r="M256" s="25"/>
      <x:c r="N256" s="25"/>
      <x:c r="O256" s="25"/>
      <x:c r="P256" s="25"/>
      <x:c r="Q256" s="25"/>
      <x:c r="R256" s="25"/>
      <x:c r="S256" s="25"/>
      <x:c r="T256" s="25"/>
      <x:c r="U256" s="25"/>
      <x:c r="V256" s="25"/>
      <x:c r="W256" s="25"/>
      <x:c r="X256" s="25"/>
      <x:c r="Y256" s="25"/>
      <x:c r="Z256" s="25"/>
    </x:row>
    <x:row r="257">
      <x:c r="A257" s="25"/>
      <x:c r="B257" s="25"/>
      <x:c r="C257" s="25"/>
      <x:c r="D257" s="25"/>
      <x:c r="E257" s="25"/>
      <x:c r="F257" s="25"/>
      <x:c r="G257" s="25"/>
      <x:c r="H257" s="25"/>
      <x:c r="I257" s="25"/>
      <x:c r="J257" s="25"/>
      <x:c r="K257" s="25"/>
      <x:c r="L257" s="25"/>
      <x:c r="M257" s="25"/>
      <x:c r="N257" s="25"/>
      <x:c r="O257" s="25"/>
      <x:c r="P257" s="25"/>
      <x:c r="Q257" s="25"/>
      <x:c r="R257" s="25"/>
      <x:c r="S257" s="25"/>
      <x:c r="T257" s="25"/>
      <x:c r="U257" s="25"/>
      <x:c r="V257" s="25"/>
      <x:c r="W257" s="25"/>
      <x:c r="X257" s="25"/>
      <x:c r="Y257" s="25"/>
      <x:c r="Z257" s="25"/>
    </x:row>
    <x:row r="258">
      <x:c r="A258" s="25"/>
      <x:c r="B258" s="25"/>
      <x:c r="C258" s="25"/>
      <x:c r="D258" s="25"/>
      <x:c r="E258" s="25"/>
      <x:c r="F258" s="25"/>
      <x:c r="G258" s="25"/>
      <x:c r="H258" s="25"/>
      <x:c r="I258" s="25"/>
      <x:c r="J258" s="25"/>
      <x:c r="K258" s="25"/>
      <x:c r="L258" s="25"/>
      <x:c r="M258" s="25"/>
      <x:c r="N258" s="25"/>
      <x:c r="O258" s="25"/>
      <x:c r="P258" s="25"/>
      <x:c r="Q258" s="25"/>
      <x:c r="R258" s="25"/>
      <x:c r="S258" s="25"/>
      <x:c r="T258" s="25"/>
      <x:c r="U258" s="25"/>
      <x:c r="V258" s="25"/>
      <x:c r="W258" s="25"/>
      <x:c r="X258" s="25"/>
      <x:c r="Y258" s="25"/>
      <x:c r="Z258" s="25"/>
    </x:row>
    <x:row r="259">
      <x:c r="A259" s="25"/>
      <x:c r="B259" s="25"/>
      <x:c r="C259" s="25"/>
      <x:c r="D259" s="25"/>
      <x:c r="E259" s="25"/>
      <x:c r="F259" s="25"/>
      <x:c r="G259" s="25"/>
      <x:c r="H259" s="25"/>
      <x:c r="I259" s="25"/>
      <x:c r="J259" s="25"/>
      <x:c r="K259" s="25"/>
      <x:c r="L259" s="25"/>
      <x:c r="M259" s="25"/>
      <x:c r="N259" s="25"/>
      <x:c r="O259" s="25"/>
      <x:c r="P259" s="25"/>
      <x:c r="Q259" s="25"/>
      <x:c r="R259" s="25"/>
      <x:c r="S259" s="25"/>
      <x:c r="T259" s="25"/>
      <x:c r="U259" s="25"/>
      <x:c r="V259" s="25"/>
      <x:c r="W259" s="25"/>
      <x:c r="X259" s="25"/>
      <x:c r="Y259" s="25"/>
      <x:c r="Z259" s="25"/>
    </x:row>
    <x:row r="260">
      <x:c r="A260" s="25"/>
      <x:c r="B260" s="25"/>
      <x:c r="C260" s="25"/>
      <x:c r="D260" s="25"/>
      <x:c r="E260" s="25"/>
      <x:c r="F260" s="25"/>
      <x:c r="G260" s="25"/>
      <x:c r="H260" s="25"/>
      <x:c r="I260" s="25"/>
      <x:c r="J260" s="25"/>
      <x:c r="K260" s="25"/>
      <x:c r="L260" s="25"/>
      <x:c r="M260" s="25"/>
      <x:c r="N260" s="25"/>
      <x:c r="O260" s="25"/>
      <x:c r="P260" s="25"/>
      <x:c r="Q260" s="25"/>
      <x:c r="R260" s="25"/>
      <x:c r="S260" s="25"/>
      <x:c r="T260" s="25"/>
      <x:c r="U260" s="25"/>
      <x:c r="V260" s="25"/>
      <x:c r="W260" s="25"/>
      <x:c r="X260" s="25"/>
      <x:c r="Y260" s="25"/>
      <x:c r="Z260" s="25"/>
    </x:row>
    <x:row r="261">
      <x:c r="A261" s="25"/>
      <x:c r="B261" s="25"/>
      <x:c r="C261" s="25"/>
      <x:c r="D261" s="25"/>
      <x:c r="E261" s="25"/>
      <x:c r="F261" s="25"/>
      <x:c r="G261" s="25"/>
      <x:c r="H261" s="25"/>
      <x:c r="I261" s="25"/>
      <x:c r="J261" s="25"/>
      <x:c r="K261" s="25"/>
      <x:c r="L261" s="25"/>
      <x:c r="M261" s="25"/>
      <x:c r="N261" s="25"/>
      <x:c r="O261" s="25"/>
      <x:c r="P261" s="25"/>
      <x:c r="Q261" s="25"/>
      <x:c r="R261" s="25"/>
      <x:c r="S261" s="25"/>
      <x:c r="T261" s="25"/>
      <x:c r="U261" s="25"/>
      <x:c r="V261" s="25"/>
      <x:c r="W261" s="25"/>
      <x:c r="X261" s="25"/>
      <x:c r="Y261" s="25"/>
      <x:c r="Z261" s="25"/>
    </x:row>
    <x:row r="262">
      <x:c r="A262" s="25"/>
      <x:c r="B262" s="25"/>
      <x:c r="C262" s="25"/>
      <x:c r="D262" s="25"/>
      <x:c r="E262" s="25"/>
      <x:c r="F262" s="25"/>
      <x:c r="G262" s="25"/>
      <x:c r="H262" s="25"/>
      <x:c r="I262" s="25"/>
      <x:c r="J262" s="25"/>
      <x:c r="K262" s="25"/>
      <x:c r="L262" s="25"/>
      <x:c r="M262" s="25"/>
      <x:c r="N262" s="25"/>
      <x:c r="O262" s="25"/>
      <x:c r="P262" s="25"/>
      <x:c r="Q262" s="25"/>
      <x:c r="R262" s="25"/>
      <x:c r="S262" s="25"/>
      <x:c r="T262" s="25"/>
      <x:c r="U262" s="25"/>
      <x:c r="V262" s="25"/>
      <x:c r="W262" s="25"/>
      <x:c r="X262" s="25"/>
      <x:c r="Y262" s="25"/>
      <x:c r="Z262" s="25"/>
    </x:row>
    <x:row r="263">
      <x:c r="A263" s="25"/>
      <x:c r="B263" s="25"/>
      <x:c r="C263" s="25"/>
      <x:c r="D263" s="25"/>
      <x:c r="E263" s="25"/>
      <x:c r="F263" s="25"/>
      <x:c r="G263" s="25"/>
      <x:c r="H263" s="25"/>
      <x:c r="I263" s="25"/>
      <x:c r="J263" s="25"/>
      <x:c r="K263" s="25"/>
      <x:c r="L263" s="25"/>
      <x:c r="M263" s="25"/>
      <x:c r="N263" s="25"/>
      <x:c r="O263" s="25"/>
      <x:c r="P263" s="25"/>
      <x:c r="Q263" s="25"/>
      <x:c r="R263" s="25"/>
      <x:c r="S263" s="25"/>
      <x:c r="T263" s="25"/>
      <x:c r="U263" s="25"/>
      <x:c r="V263" s="25"/>
      <x:c r="W263" s="25"/>
      <x:c r="X263" s="25"/>
      <x:c r="Y263" s="25"/>
      <x:c r="Z263" s="25"/>
    </x:row>
    <x:row r="264">
      <x:c r="A264" s="25"/>
      <x:c r="B264" s="25"/>
      <x:c r="C264" s="25"/>
      <x:c r="D264" s="25"/>
      <x:c r="E264" s="25"/>
      <x:c r="F264" s="25"/>
      <x:c r="G264" s="25"/>
      <x:c r="H264" s="25"/>
      <x:c r="I264" s="25"/>
      <x:c r="J264" s="25"/>
      <x:c r="K264" s="25"/>
      <x:c r="L264" s="25"/>
      <x:c r="M264" s="25"/>
      <x:c r="N264" s="25"/>
      <x:c r="O264" s="25"/>
      <x:c r="P264" s="25"/>
      <x:c r="Q264" s="25"/>
      <x:c r="R264" s="25"/>
      <x:c r="S264" s="25"/>
      <x:c r="T264" s="25"/>
      <x:c r="U264" s="25"/>
      <x:c r="V264" s="25"/>
      <x:c r="W264" s="25"/>
      <x:c r="X264" s="25"/>
      <x:c r="Y264" s="25"/>
      <x:c r="Z264" s="25"/>
    </x:row>
    <x:row r="265">
      <x:c r="A265" s="25"/>
      <x:c r="B265" s="25"/>
      <x:c r="C265" s="25"/>
      <x:c r="D265" s="25"/>
      <x:c r="E265" s="25"/>
      <x:c r="F265" s="25"/>
      <x:c r="G265" s="25"/>
      <x:c r="H265" s="25"/>
      <x:c r="I265" s="25"/>
      <x:c r="J265" s="25"/>
      <x:c r="K265" s="25"/>
      <x:c r="L265" s="25"/>
      <x:c r="M265" s="25"/>
      <x:c r="N265" s="25"/>
      <x:c r="O265" s="25"/>
      <x:c r="P265" s="25"/>
      <x:c r="Q265" s="25"/>
      <x:c r="R265" s="25"/>
      <x:c r="S265" s="25"/>
      <x:c r="T265" s="25"/>
      <x:c r="U265" s="25"/>
      <x:c r="V265" s="25"/>
      <x:c r="W265" s="25"/>
      <x:c r="X265" s="25"/>
      <x:c r="Y265" s="25"/>
      <x:c r="Z265" s="25"/>
    </x:row>
    <x:row r="266">
      <x:c r="A266" s="25"/>
      <x:c r="B266" s="25"/>
      <x:c r="C266" s="25"/>
      <x:c r="D266" s="25"/>
      <x:c r="E266" s="25"/>
      <x:c r="F266" s="25"/>
      <x:c r="G266" s="25"/>
      <x:c r="H266" s="25"/>
      <x:c r="I266" s="25"/>
      <x:c r="J266" s="25"/>
      <x:c r="K266" s="25"/>
      <x:c r="L266" s="25"/>
      <x:c r="M266" s="25"/>
      <x:c r="N266" s="25"/>
      <x:c r="O266" s="25"/>
      <x:c r="P266" s="25"/>
      <x:c r="Q266" s="25"/>
      <x:c r="R266" s="25"/>
      <x:c r="S266" s="25"/>
      <x:c r="T266" s="25"/>
      <x:c r="U266" s="25"/>
      <x:c r="V266" s="25"/>
      <x:c r="W266" s="25"/>
      <x:c r="X266" s="25"/>
      <x:c r="Y266" s="25"/>
      <x:c r="Z266" s="25"/>
    </x:row>
    <x:row r="267">
      <x:c r="A267" s="25"/>
      <x:c r="B267" s="25"/>
      <x:c r="C267" s="25"/>
      <x:c r="D267" s="25"/>
      <x:c r="E267" s="25"/>
      <x:c r="F267" s="25"/>
      <x:c r="G267" s="25"/>
      <x:c r="H267" s="25"/>
      <x:c r="I267" s="25"/>
      <x:c r="J267" s="25"/>
      <x:c r="K267" s="25"/>
      <x:c r="L267" s="25"/>
      <x:c r="M267" s="25"/>
      <x:c r="N267" s="25"/>
      <x:c r="O267" s="25"/>
      <x:c r="P267" s="25"/>
      <x:c r="Q267" s="25"/>
      <x:c r="R267" s="25"/>
      <x:c r="S267" s="25"/>
      <x:c r="T267" s="25"/>
      <x:c r="U267" s="25"/>
      <x:c r="V267" s="25"/>
      <x:c r="W267" s="25"/>
      <x:c r="X267" s="25"/>
      <x:c r="Y267" s="25"/>
      <x:c r="Z267" s="25"/>
    </x:row>
    <x:row r="268">
      <x:c r="A268" s="25"/>
      <x:c r="B268" s="25"/>
      <x:c r="C268" s="25"/>
      <x:c r="D268" s="25"/>
      <x:c r="E268" s="25"/>
      <x:c r="F268" s="25"/>
      <x:c r="G268" s="25"/>
      <x:c r="H268" s="25"/>
      <x:c r="I268" s="25"/>
      <x:c r="J268" s="25"/>
      <x:c r="K268" s="25"/>
      <x:c r="L268" s="25"/>
      <x:c r="M268" s="25"/>
      <x:c r="N268" s="25"/>
      <x:c r="O268" s="25"/>
      <x:c r="P268" s="25"/>
      <x:c r="Q268" s="25"/>
      <x:c r="R268" s="25"/>
      <x:c r="S268" s="25"/>
      <x:c r="T268" s="25"/>
      <x:c r="U268" s="25"/>
      <x:c r="V268" s="25"/>
      <x:c r="W268" s="25"/>
      <x:c r="X268" s="25"/>
      <x:c r="Y268" s="25"/>
      <x:c r="Z268" s="25"/>
    </x:row>
    <x:row r="269">
      <x:c r="A269" s="25"/>
      <x:c r="B269" s="25"/>
      <x:c r="C269" s="25"/>
      <x:c r="D269" s="25"/>
      <x:c r="E269" s="25"/>
      <x:c r="F269" s="25"/>
      <x:c r="G269" s="25"/>
      <x:c r="H269" s="25"/>
      <x:c r="I269" s="25"/>
      <x:c r="J269" s="25"/>
      <x:c r="K269" s="25"/>
      <x:c r="L269" s="25"/>
      <x:c r="M269" s="25"/>
      <x:c r="N269" s="25"/>
      <x:c r="O269" s="25"/>
      <x:c r="P269" s="25"/>
      <x:c r="Q269" s="25"/>
      <x:c r="R269" s="25"/>
      <x:c r="S269" s="25"/>
      <x:c r="T269" s="25"/>
      <x:c r="U269" s="25"/>
      <x:c r="V269" s="25"/>
      <x:c r="W269" s="25"/>
      <x:c r="X269" s="25"/>
      <x:c r="Y269" s="25"/>
      <x:c r="Z269" s="25"/>
    </x:row>
    <x:row r="270">
      <x:c r="A270" s="25"/>
      <x:c r="B270" s="25"/>
      <x:c r="C270" s="25"/>
      <x:c r="D270" s="25"/>
      <x:c r="E270" s="25"/>
      <x:c r="F270" s="25"/>
      <x:c r="G270" s="25"/>
      <x:c r="H270" s="25"/>
      <x:c r="I270" s="25"/>
      <x:c r="J270" s="25"/>
      <x:c r="K270" s="25"/>
      <x:c r="L270" s="25"/>
      <x:c r="M270" s="25"/>
      <x:c r="N270" s="25"/>
      <x:c r="O270" s="25"/>
      <x:c r="P270" s="25"/>
      <x:c r="Q270" s="25"/>
      <x:c r="R270" s="25"/>
      <x:c r="S270" s="25"/>
      <x:c r="T270" s="25"/>
      <x:c r="U270" s="25"/>
      <x:c r="V270" s="25"/>
      <x:c r="W270" s="25"/>
      <x:c r="X270" s="25"/>
      <x:c r="Y270" s="25"/>
      <x:c r="Z270" s="25"/>
    </x:row>
    <x:row r="271">
      <x:c r="A271" s="25"/>
      <x:c r="B271" s="25"/>
      <x:c r="C271" s="25"/>
      <x:c r="D271" s="25"/>
      <x:c r="E271" s="25"/>
      <x:c r="F271" s="25"/>
      <x:c r="G271" s="25"/>
      <x:c r="H271" s="25"/>
      <x:c r="I271" s="25"/>
      <x:c r="J271" s="25"/>
      <x:c r="K271" s="25"/>
      <x:c r="L271" s="25"/>
      <x:c r="M271" s="25"/>
      <x:c r="N271" s="25"/>
      <x:c r="O271" s="25"/>
      <x:c r="P271" s="25"/>
      <x:c r="Q271" s="25"/>
      <x:c r="R271" s="25"/>
      <x:c r="S271" s="25"/>
      <x:c r="T271" s="25"/>
      <x:c r="U271" s="25"/>
      <x:c r="V271" s="25"/>
      <x:c r="W271" s="25"/>
      <x:c r="X271" s="25"/>
      <x:c r="Y271" s="25"/>
      <x:c r="Z271" s="25"/>
    </x:row>
    <x:row r="272">
      <x:c r="A272" s="25"/>
      <x:c r="B272" s="25"/>
      <x:c r="C272" s="25"/>
      <x:c r="D272" s="25"/>
      <x:c r="E272" s="25"/>
      <x:c r="F272" s="25"/>
      <x:c r="G272" s="25"/>
      <x:c r="H272" s="25"/>
      <x:c r="I272" s="25"/>
      <x:c r="J272" s="25"/>
      <x:c r="K272" s="25"/>
      <x:c r="L272" s="25"/>
      <x:c r="M272" s="25"/>
      <x:c r="N272" s="25"/>
      <x:c r="O272" s="25"/>
      <x:c r="P272" s="25"/>
      <x:c r="Q272" s="25"/>
      <x:c r="R272" s="25"/>
      <x:c r="S272" s="25"/>
      <x:c r="T272" s="25"/>
      <x:c r="U272" s="25"/>
      <x:c r="V272" s="25"/>
      <x:c r="W272" s="25"/>
      <x:c r="X272" s="25"/>
      <x:c r="Y272" s="25"/>
      <x:c r="Z272" s="25"/>
    </x:row>
    <x:row r="273">
      <x:c r="A273" s="25"/>
      <x:c r="B273" s="25"/>
      <x:c r="C273" s="25"/>
      <x:c r="D273" s="25"/>
      <x:c r="E273" s="25"/>
      <x:c r="F273" s="25"/>
      <x:c r="G273" s="25"/>
      <x:c r="H273" s="25"/>
      <x:c r="I273" s="25"/>
      <x:c r="J273" s="25"/>
      <x:c r="K273" s="25"/>
      <x:c r="L273" s="25"/>
      <x:c r="M273" s="25"/>
      <x:c r="N273" s="25"/>
      <x:c r="O273" s="25"/>
      <x:c r="P273" s="25"/>
      <x:c r="Q273" s="25"/>
      <x:c r="R273" s="25"/>
      <x:c r="S273" s="25"/>
      <x:c r="T273" s="25"/>
      <x:c r="U273" s="25"/>
      <x:c r="V273" s="25"/>
      <x:c r="W273" s="25"/>
      <x:c r="X273" s="25"/>
      <x:c r="Y273" s="25"/>
      <x:c r="Z273" s="25"/>
    </x:row>
    <x:row r="274">
      <x:c r="A274" s="25"/>
      <x:c r="B274" s="25"/>
      <x:c r="C274" s="25"/>
      <x:c r="D274" s="25"/>
      <x:c r="E274" s="25"/>
      <x:c r="F274" s="25"/>
      <x:c r="G274" s="25"/>
      <x:c r="H274" s="25"/>
      <x:c r="I274" s="25"/>
      <x:c r="J274" s="25"/>
      <x:c r="K274" s="25"/>
      <x:c r="L274" s="25"/>
      <x:c r="M274" s="25"/>
      <x:c r="N274" s="25"/>
      <x:c r="O274" s="25"/>
      <x:c r="P274" s="25"/>
      <x:c r="Q274" s="25"/>
      <x:c r="R274" s="25"/>
      <x:c r="S274" s="25"/>
      <x:c r="T274" s="25"/>
      <x:c r="U274" s="25"/>
      <x:c r="V274" s="25"/>
      <x:c r="W274" s="25"/>
      <x:c r="X274" s="25"/>
      <x:c r="Y274" s="25"/>
      <x:c r="Z274" s="25"/>
    </x:row>
    <x:row r="275">
      <x:c r="A275" s="25"/>
      <x:c r="B275" s="25"/>
      <x:c r="C275" s="25"/>
      <x:c r="D275" s="25"/>
      <x:c r="E275" s="25"/>
      <x:c r="F275" s="25"/>
      <x:c r="G275" s="25"/>
      <x:c r="H275" s="25"/>
      <x:c r="I275" s="25"/>
      <x:c r="J275" s="25"/>
      <x:c r="K275" s="25"/>
      <x:c r="L275" s="25"/>
      <x:c r="M275" s="25"/>
      <x:c r="N275" s="25"/>
      <x:c r="O275" s="25"/>
      <x:c r="P275" s="25"/>
      <x:c r="Q275" s="25"/>
      <x:c r="R275" s="25"/>
      <x:c r="S275" s="25"/>
      <x:c r="T275" s="25"/>
      <x:c r="U275" s="25"/>
      <x:c r="V275" s="25"/>
      <x:c r="W275" s="25"/>
      <x:c r="X275" s="25"/>
      <x:c r="Y275" s="25"/>
      <x:c r="Z275" s="25"/>
    </x:row>
    <x:row r="276">
      <x:c r="A276" s="25"/>
      <x:c r="B276" s="25"/>
      <x:c r="C276" s="25"/>
      <x:c r="D276" s="25"/>
      <x:c r="E276" s="25"/>
      <x:c r="F276" s="25"/>
      <x:c r="G276" s="25"/>
      <x:c r="H276" s="25"/>
      <x:c r="I276" s="25"/>
      <x:c r="J276" s="25"/>
      <x:c r="K276" s="25"/>
      <x:c r="L276" s="25"/>
      <x:c r="M276" s="25"/>
      <x:c r="N276" s="25"/>
      <x:c r="O276" s="25"/>
      <x:c r="P276" s="25"/>
      <x:c r="Q276" s="25"/>
      <x:c r="R276" s="25"/>
      <x:c r="S276" s="25"/>
      <x:c r="T276" s="25"/>
      <x:c r="U276" s="25"/>
      <x:c r="V276" s="25"/>
      <x:c r="W276" s="25"/>
      <x:c r="X276" s="25"/>
      <x:c r="Y276" s="25"/>
      <x:c r="Z276" s="25"/>
    </x:row>
    <x:row r="277">
      <x:c r="A277" s="25"/>
      <x:c r="B277" s="25"/>
      <x:c r="C277" s="25"/>
      <x:c r="D277" s="25"/>
      <x:c r="E277" s="25"/>
      <x:c r="F277" s="25"/>
      <x:c r="G277" s="25"/>
      <x:c r="H277" s="25"/>
      <x:c r="I277" s="25"/>
      <x:c r="J277" s="25"/>
      <x:c r="K277" s="25"/>
      <x:c r="L277" s="25"/>
      <x:c r="M277" s="25"/>
      <x:c r="N277" s="25"/>
      <x:c r="O277" s="25"/>
      <x:c r="P277" s="25"/>
      <x:c r="Q277" s="25"/>
      <x:c r="R277" s="25"/>
      <x:c r="S277" s="25"/>
      <x:c r="T277" s="25"/>
      <x:c r="U277" s="25"/>
      <x:c r="V277" s="25"/>
      <x:c r="W277" s="25"/>
      <x:c r="X277" s="25"/>
      <x:c r="Y277" s="25"/>
      <x:c r="Z277" s="25"/>
    </x:row>
    <x:row r="278">
      <x:c r="A278" s="25"/>
      <x:c r="B278" s="25"/>
      <x:c r="C278" s="25"/>
      <x:c r="D278" s="25"/>
      <x:c r="E278" s="25"/>
      <x:c r="F278" s="25"/>
      <x:c r="G278" s="25"/>
      <x:c r="H278" s="25"/>
      <x:c r="I278" s="25"/>
      <x:c r="J278" s="25"/>
      <x:c r="K278" s="25"/>
      <x:c r="L278" s="25"/>
      <x:c r="M278" s="25"/>
      <x:c r="N278" s="25"/>
      <x:c r="O278" s="25"/>
      <x:c r="P278" s="25"/>
      <x:c r="Q278" s="25"/>
      <x:c r="R278" s="25"/>
      <x:c r="S278" s="25"/>
      <x:c r="T278" s="25"/>
      <x:c r="U278" s="25"/>
      <x:c r="V278" s="25"/>
      <x:c r="W278" s="25"/>
      <x:c r="X278" s="25"/>
      <x:c r="Y278" s="25"/>
      <x:c r="Z278" s="25"/>
    </x:row>
    <x:row r="279">
      <x:c r="A279" s="25"/>
      <x:c r="B279" s="25"/>
      <x:c r="C279" s="25"/>
      <x:c r="D279" s="25"/>
      <x:c r="E279" s="25"/>
      <x:c r="F279" s="25"/>
      <x:c r="G279" s="25"/>
      <x:c r="H279" s="25"/>
      <x:c r="I279" s="25"/>
      <x:c r="J279" s="25"/>
      <x:c r="K279" s="25"/>
      <x:c r="L279" s="25"/>
      <x:c r="M279" s="25"/>
      <x:c r="N279" s="25"/>
      <x:c r="O279" s="25"/>
      <x:c r="P279" s="25"/>
      <x:c r="Q279" s="25"/>
      <x:c r="R279" s="25"/>
      <x:c r="S279" s="25"/>
      <x:c r="T279" s="25"/>
      <x:c r="U279" s="25"/>
      <x:c r="V279" s="25"/>
      <x:c r="W279" s="25"/>
      <x:c r="X279" s="25"/>
      <x:c r="Y279" s="25"/>
      <x:c r="Z279" s="25"/>
    </x:row>
    <x:row r="280">
      <x:c r="A280" s="25"/>
      <x:c r="B280" s="25"/>
      <x:c r="C280" s="25"/>
      <x:c r="D280" s="25"/>
      <x:c r="E280" s="25"/>
      <x:c r="F280" s="25"/>
      <x:c r="G280" s="25"/>
      <x:c r="H280" s="25"/>
      <x:c r="I280" s="25"/>
      <x:c r="J280" s="25"/>
      <x:c r="K280" s="25"/>
      <x:c r="L280" s="25"/>
      <x:c r="M280" s="25"/>
      <x:c r="N280" s="25"/>
      <x:c r="O280" s="25"/>
      <x:c r="P280" s="25"/>
      <x:c r="Q280" s="25"/>
      <x:c r="R280" s="25"/>
      <x:c r="S280" s="25"/>
      <x:c r="T280" s="25"/>
      <x:c r="U280" s="25"/>
      <x:c r="V280" s="25"/>
      <x:c r="W280" s="25"/>
      <x:c r="X280" s="25"/>
      <x:c r="Y280" s="25"/>
      <x:c r="Z280" s="25"/>
    </x:row>
    <x:row r="281">
      <x:c r="A281" s="25"/>
      <x:c r="B281" s="25"/>
      <x:c r="C281" s="25"/>
      <x:c r="D281" s="25"/>
      <x:c r="E281" s="25"/>
      <x:c r="F281" s="25"/>
      <x:c r="G281" s="25"/>
      <x:c r="H281" s="25"/>
      <x:c r="I281" s="25"/>
      <x:c r="J281" s="25"/>
      <x:c r="K281" s="25"/>
      <x:c r="L281" s="25"/>
      <x:c r="M281" s="25"/>
      <x:c r="N281" s="25"/>
      <x:c r="O281" s="25"/>
      <x:c r="P281" s="25"/>
      <x:c r="Q281" s="25"/>
      <x:c r="R281" s="25"/>
      <x:c r="S281" s="25"/>
      <x:c r="T281" s="25"/>
      <x:c r="U281" s="25"/>
      <x:c r="V281" s="25"/>
      <x:c r="W281" s="25"/>
      <x:c r="X281" s="25"/>
      <x:c r="Y281" s="25"/>
      <x:c r="Z281" s="25"/>
    </x:row>
    <x:row r="282">
      <x:c r="A282" s="25"/>
      <x:c r="B282" s="25"/>
      <x:c r="C282" s="25"/>
      <x:c r="D282" s="25"/>
      <x:c r="E282" s="25"/>
      <x:c r="F282" s="25"/>
      <x:c r="G282" s="25"/>
      <x:c r="H282" s="25"/>
      <x:c r="I282" s="25"/>
      <x:c r="J282" s="25"/>
      <x:c r="K282" s="25"/>
      <x:c r="L282" s="25"/>
      <x:c r="M282" s="25"/>
      <x:c r="N282" s="25"/>
      <x:c r="O282" s="25"/>
      <x:c r="P282" s="25"/>
      <x:c r="Q282" s="25"/>
      <x:c r="R282" s="25"/>
      <x:c r="S282" s="25"/>
      <x:c r="T282" s="25"/>
      <x:c r="U282" s="25"/>
      <x:c r="V282" s="25"/>
      <x:c r="W282" s="25"/>
      <x:c r="X282" s="25"/>
      <x:c r="Y282" s="25"/>
      <x:c r="Z282" s="25"/>
    </x:row>
    <x:row r="283">
      <x:c r="A283" s="25"/>
      <x:c r="B283" s="25"/>
      <x:c r="C283" s="25"/>
      <x:c r="D283" s="25"/>
      <x:c r="E283" s="25"/>
      <x:c r="F283" s="25"/>
      <x:c r="G283" s="25"/>
      <x:c r="H283" s="25"/>
      <x:c r="I283" s="25"/>
      <x:c r="J283" s="25"/>
      <x:c r="K283" s="25"/>
      <x:c r="L283" s="25"/>
      <x:c r="M283" s="25"/>
      <x:c r="N283" s="25"/>
      <x:c r="O283" s="25"/>
      <x:c r="P283" s="25"/>
      <x:c r="Q283" s="25"/>
      <x:c r="R283" s="25"/>
      <x:c r="S283" s="25"/>
      <x:c r="T283" s="25"/>
      <x:c r="U283" s="25"/>
      <x:c r="V283" s="25"/>
      <x:c r="W283" s="25"/>
      <x:c r="X283" s="25"/>
      <x:c r="Y283" s="25"/>
      <x:c r="Z283" s="25"/>
    </x:row>
    <x:row r="284">
      <x:c r="A284" s="25"/>
      <x:c r="B284" s="25"/>
      <x:c r="C284" s="25"/>
      <x:c r="D284" s="25"/>
      <x:c r="E284" s="25"/>
      <x:c r="F284" s="25"/>
      <x:c r="G284" s="25"/>
      <x:c r="H284" s="25"/>
      <x:c r="I284" s="25"/>
      <x:c r="J284" s="25"/>
      <x:c r="K284" s="25"/>
      <x:c r="L284" s="25"/>
      <x:c r="M284" s="25"/>
      <x:c r="N284" s="25"/>
      <x:c r="O284" s="25"/>
      <x:c r="P284" s="25"/>
      <x:c r="Q284" s="25"/>
      <x:c r="R284" s="25"/>
      <x:c r="S284" s="25"/>
      <x:c r="T284" s="25"/>
      <x:c r="U284" s="25"/>
      <x:c r="V284" s="25"/>
      <x:c r="W284" s="25"/>
      <x:c r="X284" s="25"/>
      <x:c r="Y284" s="25"/>
      <x:c r="Z284" s="25"/>
    </x:row>
    <x:row r="285">
      <x:c r="A285" s="25"/>
      <x:c r="B285" s="25"/>
      <x:c r="C285" s="25"/>
      <x:c r="D285" s="25"/>
      <x:c r="E285" s="25"/>
      <x:c r="F285" s="25"/>
      <x:c r="G285" s="25"/>
      <x:c r="H285" s="25"/>
      <x:c r="I285" s="25"/>
      <x:c r="J285" s="25"/>
      <x:c r="K285" s="25"/>
      <x:c r="L285" s="25"/>
      <x:c r="M285" s="25"/>
      <x:c r="N285" s="25"/>
      <x:c r="O285" s="25"/>
      <x:c r="P285" s="25"/>
      <x:c r="Q285" s="25"/>
      <x:c r="R285" s="25"/>
      <x:c r="S285" s="25"/>
      <x:c r="T285" s="25"/>
      <x:c r="U285" s="25"/>
      <x:c r="V285" s="25"/>
      <x:c r="W285" s="25"/>
      <x:c r="X285" s="25"/>
      <x:c r="Y285" s="25"/>
      <x:c r="Z285" s="25"/>
    </x:row>
    <x:row r="286">
      <x:c r="A286" s="25"/>
      <x:c r="B286" s="25"/>
      <x:c r="C286" s="25"/>
      <x:c r="D286" s="25"/>
      <x:c r="E286" s="25"/>
      <x:c r="F286" s="25"/>
      <x:c r="G286" s="25"/>
      <x:c r="H286" s="25"/>
      <x:c r="I286" s="25"/>
      <x:c r="J286" s="25"/>
      <x:c r="K286" s="25"/>
      <x:c r="L286" s="25"/>
      <x:c r="M286" s="25"/>
      <x:c r="N286" s="25"/>
      <x:c r="O286" s="25"/>
      <x:c r="P286" s="25"/>
      <x:c r="Q286" s="25"/>
      <x:c r="R286" s="25"/>
      <x:c r="S286" s="25"/>
      <x:c r="T286" s="25"/>
      <x:c r="U286" s="25"/>
      <x:c r="V286" s="25"/>
      <x:c r="W286" s="25"/>
      <x:c r="X286" s="25"/>
      <x:c r="Y286" s="25"/>
      <x:c r="Z286" s="25"/>
    </x:row>
    <x:row r="287">
      <x:c r="A287" s="25"/>
      <x:c r="B287" s="25"/>
      <x:c r="C287" s="25"/>
      <x:c r="D287" s="25"/>
      <x:c r="E287" s="25"/>
      <x:c r="F287" s="25"/>
      <x:c r="G287" s="25"/>
      <x:c r="H287" s="25"/>
      <x:c r="I287" s="25"/>
      <x:c r="J287" s="25"/>
      <x:c r="K287" s="25"/>
      <x:c r="L287" s="25"/>
      <x:c r="M287" s="25"/>
      <x:c r="N287" s="25"/>
      <x:c r="O287" s="25"/>
      <x:c r="P287" s="25"/>
      <x:c r="Q287" s="25"/>
      <x:c r="R287" s="25"/>
      <x:c r="S287" s="25"/>
      <x:c r="T287" s="25"/>
      <x:c r="U287" s="25"/>
      <x:c r="V287" s="25"/>
      <x:c r="W287" s="25"/>
      <x:c r="X287" s="25"/>
      <x:c r="Y287" s="25"/>
      <x:c r="Z287" s="25"/>
    </x:row>
    <x:row r="288">
      <x:c r="A288" s="25"/>
      <x:c r="B288" s="25"/>
      <x:c r="C288" s="25"/>
      <x:c r="D288" s="25"/>
      <x:c r="E288" s="25"/>
      <x:c r="F288" s="25"/>
      <x:c r="G288" s="25"/>
      <x:c r="H288" s="25"/>
      <x:c r="I288" s="25"/>
      <x:c r="J288" s="25"/>
      <x:c r="K288" s="25"/>
      <x:c r="L288" s="25"/>
      <x:c r="M288" s="25"/>
      <x:c r="N288" s="25"/>
      <x:c r="O288" s="25"/>
      <x:c r="P288" s="25"/>
      <x:c r="Q288" s="25"/>
      <x:c r="R288" s="25"/>
      <x:c r="S288" s="25"/>
      <x:c r="T288" s="25"/>
      <x:c r="U288" s="25"/>
      <x:c r="V288" s="25"/>
      <x:c r="W288" s="25"/>
      <x:c r="X288" s="25"/>
      <x:c r="Y288" s="25"/>
      <x:c r="Z288" s="25"/>
    </x:row>
    <x:row r="289">
      <x:c r="A289" s="25"/>
      <x:c r="B289" s="25"/>
      <x:c r="C289" s="25"/>
      <x:c r="D289" s="25"/>
      <x:c r="E289" s="25"/>
      <x:c r="F289" s="25"/>
      <x:c r="G289" s="25"/>
      <x:c r="H289" s="25"/>
      <x:c r="I289" s="25"/>
      <x:c r="J289" s="25"/>
      <x:c r="K289" s="25"/>
      <x:c r="L289" s="25"/>
      <x:c r="M289" s="25"/>
      <x:c r="N289" s="25"/>
      <x:c r="O289" s="25"/>
      <x:c r="P289" s="25"/>
      <x:c r="Q289" s="25"/>
      <x:c r="R289" s="25"/>
      <x:c r="S289" s="25"/>
      <x:c r="T289" s="25"/>
      <x:c r="U289" s="25"/>
      <x:c r="V289" s="25"/>
      <x:c r="W289" s="25"/>
      <x:c r="X289" s="25"/>
      <x:c r="Y289" s="25"/>
      <x:c r="Z289" s="25"/>
    </x:row>
    <x:row r="290">
      <x:c r="A290" s="25"/>
      <x:c r="B290" s="25"/>
      <x:c r="C290" s="25"/>
      <x:c r="D290" s="25"/>
      <x:c r="E290" s="25"/>
      <x:c r="F290" s="25"/>
      <x:c r="G290" s="25"/>
      <x:c r="H290" s="25"/>
      <x:c r="I290" s="25"/>
      <x:c r="J290" s="25"/>
      <x:c r="K290" s="25"/>
      <x:c r="L290" s="25"/>
      <x:c r="M290" s="25"/>
      <x:c r="N290" s="25"/>
      <x:c r="O290" s="25"/>
      <x:c r="P290" s="25"/>
      <x:c r="Q290" s="25"/>
      <x:c r="R290" s="25"/>
      <x:c r="S290" s="25"/>
      <x:c r="T290" s="25"/>
      <x:c r="U290" s="25"/>
      <x:c r="V290" s="25"/>
      <x:c r="W290" s="25"/>
      <x:c r="X290" s="25"/>
      <x:c r="Y290" s="25"/>
      <x:c r="Z290" s="25"/>
    </x:row>
    <x:row r="291">
      <x:c r="A291" s="25"/>
      <x:c r="B291" s="25"/>
      <x:c r="C291" s="25"/>
      <x:c r="D291" s="25"/>
      <x:c r="E291" s="25"/>
      <x:c r="F291" s="25"/>
      <x:c r="G291" s="25"/>
      <x:c r="H291" s="25"/>
      <x:c r="I291" s="25"/>
      <x:c r="J291" s="25"/>
      <x:c r="K291" s="25"/>
      <x:c r="L291" s="25"/>
      <x:c r="M291" s="25"/>
      <x:c r="N291" s="25"/>
      <x:c r="O291" s="25"/>
      <x:c r="P291" s="25"/>
      <x:c r="Q291" s="25"/>
      <x:c r="R291" s="25"/>
      <x:c r="S291" s="25"/>
      <x:c r="T291" s="25"/>
      <x:c r="U291" s="25"/>
      <x:c r="V291" s="25"/>
      <x:c r="W291" s="25"/>
      <x:c r="X291" s="25"/>
      <x:c r="Y291" s="25"/>
      <x:c r="Z291" s="25"/>
    </x:row>
    <x:row r="292">
      <x:c r="A292" s="25"/>
      <x:c r="B292" s="25"/>
      <x:c r="C292" s="25"/>
      <x:c r="D292" s="25"/>
      <x:c r="E292" s="25"/>
      <x:c r="F292" s="25"/>
      <x:c r="G292" s="25"/>
      <x:c r="H292" s="25"/>
      <x:c r="I292" s="25"/>
      <x:c r="J292" s="25"/>
      <x:c r="K292" s="25"/>
      <x:c r="L292" s="25"/>
      <x:c r="M292" s="25"/>
      <x:c r="N292" s="25"/>
      <x:c r="O292" s="25"/>
      <x:c r="P292" s="25"/>
      <x:c r="Q292" s="25"/>
      <x:c r="R292" s="25"/>
      <x:c r="S292" s="25"/>
      <x:c r="T292" s="25"/>
      <x:c r="U292" s="25"/>
      <x:c r="V292" s="25"/>
      <x:c r="W292" s="25"/>
      <x:c r="X292" s="25"/>
      <x:c r="Y292" s="25"/>
      <x:c r="Z292" s="25"/>
    </x:row>
    <x:row r="293">
      <x:c r="A293" s="25"/>
      <x:c r="B293" s="25"/>
      <x:c r="C293" s="25"/>
      <x:c r="D293" s="25"/>
      <x:c r="E293" s="25"/>
      <x:c r="F293" s="25"/>
      <x:c r="G293" s="25"/>
      <x:c r="H293" s="25"/>
      <x:c r="I293" s="25"/>
      <x:c r="J293" s="25"/>
      <x:c r="K293" s="25"/>
      <x:c r="L293" s="25"/>
      <x:c r="M293" s="25"/>
      <x:c r="N293" s="25"/>
      <x:c r="O293" s="25"/>
      <x:c r="P293" s="25"/>
      <x:c r="Q293" s="25"/>
      <x:c r="R293" s="25"/>
      <x:c r="S293" s="25"/>
      <x:c r="T293" s="25"/>
      <x:c r="U293" s="25"/>
      <x:c r="V293" s="25"/>
      <x:c r="W293" s="25"/>
      <x:c r="X293" s="25"/>
      <x:c r="Y293" s="25"/>
      <x:c r="Z293" s="25"/>
    </x:row>
    <x:row r="294">
      <x:c r="A294" s="25"/>
      <x:c r="B294" s="25"/>
      <x:c r="C294" s="25"/>
      <x:c r="D294" s="25"/>
      <x:c r="E294" s="25"/>
      <x:c r="F294" s="25"/>
      <x:c r="G294" s="25"/>
      <x:c r="H294" s="25"/>
      <x:c r="I294" s="25"/>
      <x:c r="J294" s="25"/>
      <x:c r="K294" s="25"/>
      <x:c r="L294" s="25"/>
      <x:c r="M294" s="25"/>
      <x:c r="N294" s="25"/>
      <x:c r="O294" s="25"/>
      <x:c r="P294" s="25"/>
      <x:c r="Q294" s="25"/>
      <x:c r="R294" s="25"/>
      <x:c r="S294" s="25"/>
      <x:c r="T294" s="25"/>
      <x:c r="U294" s="25"/>
      <x:c r="V294" s="25"/>
      <x:c r="W294" s="25"/>
      <x:c r="X294" s="25"/>
      <x:c r="Y294" s="25"/>
      <x:c r="Z294" s="25"/>
    </x:row>
    <x:row r="295">
      <x:c r="A295" s="25"/>
      <x:c r="B295" s="25"/>
      <x:c r="C295" s="25"/>
      <x:c r="D295" s="25"/>
      <x:c r="E295" s="25"/>
      <x:c r="F295" s="25"/>
      <x:c r="G295" s="25"/>
      <x:c r="H295" s="25"/>
      <x:c r="I295" s="25"/>
      <x:c r="J295" s="25"/>
      <x:c r="K295" s="25"/>
      <x:c r="L295" s="25"/>
      <x:c r="M295" s="25"/>
      <x:c r="N295" s="25"/>
      <x:c r="O295" s="25"/>
      <x:c r="P295" s="25"/>
      <x:c r="Q295" s="25"/>
      <x:c r="R295" s="25"/>
      <x:c r="S295" s="25"/>
      <x:c r="T295" s="25"/>
      <x:c r="U295" s="25"/>
      <x:c r="V295" s="25"/>
      <x:c r="W295" s="25"/>
      <x:c r="X295" s="25"/>
      <x:c r="Y295" s="25"/>
      <x:c r="Z295" s="25"/>
    </x:row>
    <x:row r="296">
      <x:c r="A296" s="25"/>
      <x:c r="B296" s="25"/>
      <x:c r="C296" s="25"/>
      <x:c r="D296" s="25"/>
      <x:c r="E296" s="25"/>
      <x:c r="F296" s="25"/>
      <x:c r="G296" s="25"/>
      <x:c r="H296" s="25"/>
      <x:c r="I296" s="25"/>
      <x:c r="J296" s="25"/>
      <x:c r="K296" s="25"/>
      <x:c r="L296" s="25"/>
      <x:c r="M296" s="25"/>
      <x:c r="N296" s="25"/>
      <x:c r="O296" s="25"/>
      <x:c r="P296" s="25"/>
      <x:c r="Q296" s="25"/>
      <x:c r="R296" s="25"/>
      <x:c r="S296" s="25"/>
      <x:c r="T296" s="25"/>
      <x:c r="U296" s="25"/>
      <x:c r="V296" s="25"/>
      <x:c r="W296" s="25"/>
      <x:c r="X296" s="25"/>
      <x:c r="Y296" s="25"/>
      <x:c r="Z296" s="25"/>
    </x:row>
    <x:row r="297">
      <x:c r="A297" s="25"/>
      <x:c r="B297" s="25"/>
      <x:c r="C297" s="25"/>
      <x:c r="D297" s="25"/>
      <x:c r="E297" s="25"/>
      <x:c r="F297" s="25"/>
      <x:c r="G297" s="25"/>
      <x:c r="H297" s="25"/>
      <x:c r="I297" s="25"/>
      <x:c r="J297" s="25"/>
      <x:c r="K297" s="25"/>
      <x:c r="L297" s="25"/>
      <x:c r="M297" s="25"/>
      <x:c r="N297" s="25"/>
      <x:c r="O297" s="25"/>
      <x:c r="P297" s="25"/>
      <x:c r="Q297" s="25"/>
      <x:c r="R297" s="25"/>
      <x:c r="S297" s="25"/>
      <x:c r="T297" s="25"/>
      <x:c r="U297" s="25"/>
      <x:c r="V297" s="25"/>
      <x:c r="W297" s="25"/>
      <x:c r="X297" s="25"/>
      <x:c r="Y297" s="25"/>
      <x:c r="Z297" s="25"/>
    </x:row>
    <x:row r="298">
      <x:c r="A298" s="25"/>
      <x:c r="B298" s="25"/>
      <x:c r="C298" s="25"/>
      <x:c r="D298" s="25"/>
      <x:c r="E298" s="25"/>
      <x:c r="F298" s="25"/>
      <x:c r="G298" s="25"/>
      <x:c r="H298" s="25"/>
      <x:c r="I298" s="25"/>
      <x:c r="J298" s="25"/>
      <x:c r="K298" s="25"/>
      <x:c r="L298" s="25"/>
      <x:c r="M298" s="25"/>
      <x:c r="N298" s="25"/>
      <x:c r="O298" s="25"/>
      <x:c r="P298" s="25"/>
      <x:c r="Q298" s="25"/>
      <x:c r="R298" s="25"/>
      <x:c r="S298" s="25"/>
      <x:c r="T298" s="25"/>
      <x:c r="U298" s="25"/>
      <x:c r="V298" s="25"/>
      <x:c r="W298" s="25"/>
      <x:c r="X298" s="25"/>
      <x:c r="Y298" s="25"/>
      <x:c r="Z298" s="25"/>
    </x:row>
    <x:row r="299">
      <x:c r="A299" s="25"/>
      <x:c r="B299" s="25"/>
      <x:c r="C299" s="25"/>
      <x:c r="D299" s="25"/>
      <x:c r="E299" s="25"/>
      <x:c r="F299" s="25"/>
      <x:c r="G299" s="25"/>
      <x:c r="H299" s="25"/>
      <x:c r="I299" s="25"/>
      <x:c r="J299" s="25"/>
      <x:c r="K299" s="25"/>
      <x:c r="L299" s="25"/>
      <x:c r="M299" s="25"/>
      <x:c r="N299" s="25"/>
      <x:c r="O299" s="25"/>
      <x:c r="P299" s="25"/>
      <x:c r="Q299" s="25"/>
      <x:c r="R299" s="25"/>
      <x:c r="S299" s="25"/>
      <x:c r="T299" s="25"/>
      <x:c r="U299" s="25"/>
      <x:c r="V299" s="25"/>
      <x:c r="W299" s="25"/>
      <x:c r="X299" s="25"/>
      <x:c r="Y299" s="25"/>
      <x:c r="Z299" s="25"/>
    </x:row>
    <x:row r="300">
      <x:c r="A300" s="25"/>
      <x:c r="B300" s="25"/>
      <x:c r="C300" s="25"/>
      <x:c r="D300" s="25"/>
      <x:c r="E300" s="25"/>
      <x:c r="F300" s="25"/>
      <x:c r="G300" s="25"/>
      <x:c r="H300" s="25"/>
      <x:c r="I300" s="25"/>
      <x:c r="J300" s="25"/>
      <x:c r="K300" s="25"/>
      <x:c r="L300" s="25"/>
      <x:c r="M300" s="25"/>
      <x:c r="N300" s="25"/>
      <x:c r="O300" s="25"/>
      <x:c r="P300" s="25"/>
      <x:c r="Q300" s="25"/>
      <x:c r="R300" s="25"/>
      <x:c r="S300" s="25"/>
      <x:c r="T300" s="25"/>
      <x:c r="U300" s="25"/>
      <x:c r="V300" s="25"/>
      <x:c r="W300" s="25"/>
      <x:c r="X300" s="25"/>
      <x:c r="Y300" s="25"/>
      <x:c r="Z300" s="25"/>
    </x:row>
    <x:row r="301">
      <x:c r="A301" s="25"/>
      <x:c r="B301" s="25"/>
      <x:c r="C301" s="25"/>
      <x:c r="D301" s="25"/>
      <x:c r="E301" s="25"/>
      <x:c r="F301" s="25"/>
      <x:c r="G301" s="25"/>
      <x:c r="H301" s="25"/>
      <x:c r="I301" s="25"/>
      <x:c r="J301" s="25"/>
      <x:c r="K301" s="25"/>
      <x:c r="L301" s="25"/>
      <x:c r="M301" s="25"/>
      <x:c r="N301" s="25"/>
      <x:c r="O301" s="25"/>
      <x:c r="P301" s="25"/>
      <x:c r="Q301" s="25"/>
      <x:c r="R301" s="25"/>
      <x:c r="S301" s="25"/>
      <x:c r="T301" s="25"/>
      <x:c r="U301" s="25"/>
      <x:c r="V301" s="25"/>
      <x:c r="W301" s="25"/>
      <x:c r="X301" s="25"/>
      <x:c r="Y301" s="25"/>
      <x:c r="Z301" s="25"/>
    </x:row>
    <x:row r="302">
      <x:c r="A302" s="25"/>
      <x:c r="B302" s="25"/>
      <x:c r="C302" s="25"/>
      <x:c r="D302" s="25"/>
      <x:c r="E302" s="25"/>
      <x:c r="F302" s="25"/>
      <x:c r="G302" s="25"/>
      <x:c r="H302" s="25"/>
      <x:c r="I302" s="25"/>
      <x:c r="J302" s="25"/>
      <x:c r="K302" s="25"/>
      <x:c r="L302" s="25"/>
      <x:c r="M302" s="25"/>
      <x:c r="N302" s="25"/>
      <x:c r="O302" s="25"/>
      <x:c r="P302" s="25"/>
      <x:c r="Q302" s="25"/>
      <x:c r="R302" s="25"/>
      <x:c r="S302" s="25"/>
      <x:c r="T302" s="25"/>
      <x:c r="U302" s="25"/>
      <x:c r="V302" s="25"/>
      <x:c r="W302" s="25"/>
      <x:c r="X302" s="25"/>
      <x:c r="Y302" s="25"/>
      <x:c r="Z302" s="25"/>
    </x:row>
    <x:row r="303">
      <x:c r="A303" s="25"/>
      <x:c r="B303" s="25"/>
      <x:c r="C303" s="25"/>
      <x:c r="D303" s="25"/>
      <x:c r="E303" s="25"/>
      <x:c r="F303" s="25"/>
      <x:c r="G303" s="25"/>
      <x:c r="H303" s="25"/>
      <x:c r="I303" s="25"/>
      <x:c r="J303" s="25"/>
      <x:c r="K303" s="25"/>
      <x:c r="L303" s="25"/>
      <x:c r="M303" s="25"/>
      <x:c r="N303" s="25"/>
      <x:c r="O303" s="25"/>
      <x:c r="P303" s="25"/>
      <x:c r="Q303" s="25"/>
      <x:c r="R303" s="25"/>
      <x:c r="S303" s="25"/>
      <x:c r="T303" s="25"/>
      <x:c r="U303" s="25"/>
      <x:c r="V303" s="25"/>
      <x:c r="W303" s="25"/>
      <x:c r="X303" s="25"/>
      <x:c r="Y303" s="25"/>
      <x:c r="Z303" s="25"/>
    </x:row>
    <x:row r="304">
      <x:c r="A304" s="25"/>
      <x:c r="B304" s="25"/>
      <x:c r="C304" s="25"/>
      <x:c r="D304" s="25"/>
      <x:c r="E304" s="25"/>
      <x:c r="F304" s="25"/>
      <x:c r="G304" s="25"/>
      <x:c r="H304" s="25"/>
      <x:c r="I304" s="25"/>
      <x:c r="J304" s="25"/>
      <x:c r="K304" s="25"/>
      <x:c r="L304" s="25"/>
      <x:c r="M304" s="25"/>
      <x:c r="N304" s="25"/>
      <x:c r="O304" s="25"/>
      <x:c r="P304" s="25"/>
      <x:c r="Q304" s="25"/>
      <x:c r="R304" s="25"/>
      <x:c r="S304" s="25"/>
      <x:c r="T304" s="25"/>
      <x:c r="U304" s="25"/>
      <x:c r="V304" s="25"/>
      <x:c r="W304" s="25"/>
      <x:c r="X304" s="25"/>
      <x:c r="Y304" s="25"/>
      <x:c r="Z304" s="25"/>
    </x:row>
    <x:row r="305">
      <x:c r="A305" s="25"/>
      <x:c r="B305" s="25"/>
      <x:c r="C305" s="25"/>
      <x:c r="D305" s="25"/>
      <x:c r="E305" s="25"/>
      <x:c r="F305" s="25"/>
      <x:c r="G305" s="25"/>
      <x:c r="H305" s="25"/>
      <x:c r="I305" s="25"/>
      <x:c r="J305" s="25"/>
      <x:c r="K305" s="25"/>
      <x:c r="L305" s="25"/>
      <x:c r="M305" s="25"/>
      <x:c r="N305" s="25"/>
      <x:c r="O305" s="25"/>
      <x:c r="P305" s="25"/>
      <x:c r="Q305" s="25"/>
      <x:c r="R305" s="25"/>
      <x:c r="S305" s="25"/>
      <x:c r="T305" s="25"/>
      <x:c r="U305" s="25"/>
      <x:c r="V305" s="25"/>
      <x:c r="W305" s="25"/>
      <x:c r="X305" s="25"/>
      <x:c r="Y305" s="25"/>
      <x:c r="Z305" s="25"/>
    </x:row>
    <x:row r="306">
      <x:c r="A306" s="25"/>
      <x:c r="B306" s="25"/>
      <x:c r="C306" s="25"/>
      <x:c r="D306" s="25"/>
      <x:c r="E306" s="25"/>
      <x:c r="F306" s="25"/>
      <x:c r="G306" s="25"/>
      <x:c r="H306" s="25"/>
      <x:c r="I306" s="25"/>
      <x:c r="J306" s="25"/>
      <x:c r="K306" s="25"/>
      <x:c r="L306" s="25"/>
      <x:c r="M306" s="25"/>
      <x:c r="N306" s="25"/>
      <x:c r="O306" s="25"/>
      <x:c r="P306" s="25"/>
      <x:c r="Q306" s="25"/>
      <x:c r="R306" s="25"/>
      <x:c r="S306" s="25"/>
      <x:c r="T306" s="25"/>
      <x:c r="U306" s="25"/>
      <x:c r="V306" s="25"/>
      <x:c r="W306" s="25"/>
      <x:c r="X306" s="25"/>
      <x:c r="Y306" s="25"/>
      <x:c r="Z306" s="25"/>
    </x:row>
    <x:row r="307">
      <x:c r="A307" s="25"/>
      <x:c r="B307" s="25"/>
      <x:c r="C307" s="25"/>
      <x:c r="D307" s="25"/>
      <x:c r="E307" s="25"/>
      <x:c r="F307" s="25"/>
      <x:c r="G307" s="25"/>
      <x:c r="H307" s="25"/>
      <x:c r="I307" s="25"/>
      <x:c r="J307" s="25"/>
      <x:c r="K307" s="25"/>
      <x:c r="L307" s="25"/>
      <x:c r="M307" s="25"/>
      <x:c r="N307" s="25"/>
      <x:c r="O307" s="25"/>
      <x:c r="P307" s="25"/>
      <x:c r="Q307" s="25"/>
      <x:c r="R307" s="25"/>
      <x:c r="S307" s="25"/>
      <x:c r="T307" s="25"/>
      <x:c r="U307" s="25"/>
      <x:c r="V307" s="25"/>
      <x:c r="W307" s="25"/>
      <x:c r="X307" s="25"/>
      <x:c r="Y307" s="25"/>
      <x:c r="Z307" s="25"/>
    </x:row>
    <x:row r="308">
      <x:c r="A308" s="25"/>
      <x:c r="B308" s="25"/>
      <x:c r="C308" s="25"/>
      <x:c r="D308" s="25"/>
      <x:c r="E308" s="25"/>
      <x:c r="F308" s="25"/>
      <x:c r="G308" s="25"/>
      <x:c r="H308" s="25"/>
      <x:c r="I308" s="25"/>
      <x:c r="J308" s="25"/>
      <x:c r="K308" s="25"/>
      <x:c r="L308" s="25"/>
      <x:c r="M308" s="25"/>
      <x:c r="N308" s="25"/>
      <x:c r="O308" s="25"/>
      <x:c r="P308" s="25"/>
      <x:c r="Q308" s="25"/>
      <x:c r="R308" s="25"/>
      <x:c r="S308" s="25"/>
      <x:c r="T308" s="25"/>
      <x:c r="U308" s="25"/>
      <x:c r="V308" s="25"/>
      <x:c r="W308" s="25"/>
      <x:c r="X308" s="25"/>
      <x:c r="Y308" s="25"/>
      <x:c r="Z308" s="25"/>
    </x:row>
    <x:row r="309">
      <x:c r="A309" s="25"/>
      <x:c r="B309" s="25"/>
      <x:c r="C309" s="25"/>
      <x:c r="D309" s="25"/>
      <x:c r="E309" s="25"/>
      <x:c r="F309" s="25"/>
      <x:c r="G309" s="25"/>
      <x:c r="H309" s="25"/>
      <x:c r="I309" s="25"/>
      <x:c r="J309" s="25"/>
      <x:c r="K309" s="25"/>
      <x:c r="L309" s="25"/>
      <x:c r="M309" s="25"/>
      <x:c r="N309" s="25"/>
      <x:c r="O309" s="25"/>
      <x:c r="P309" s="25"/>
      <x:c r="Q309" s="25"/>
      <x:c r="R309" s="25"/>
      <x:c r="S309" s="25"/>
      <x:c r="T309" s="25"/>
      <x:c r="U309" s="25"/>
      <x:c r="V309" s="25"/>
      <x:c r="W309" s="25"/>
      <x:c r="X309" s="25"/>
      <x:c r="Y309" s="25"/>
      <x:c r="Z309" s="25"/>
    </x:row>
    <x:row r="310">
      <x:c r="A310" s="25"/>
      <x:c r="B310" s="25"/>
      <x:c r="C310" s="25"/>
      <x:c r="D310" s="25"/>
      <x:c r="E310" s="25"/>
      <x:c r="F310" s="25"/>
      <x:c r="G310" s="25"/>
      <x:c r="H310" s="25"/>
      <x:c r="I310" s="25"/>
      <x:c r="J310" s="25"/>
      <x:c r="K310" s="25"/>
      <x:c r="L310" s="25"/>
      <x:c r="M310" s="25"/>
      <x:c r="N310" s="25"/>
      <x:c r="O310" s="25"/>
      <x:c r="P310" s="25"/>
      <x:c r="Q310" s="25"/>
      <x:c r="R310" s="25"/>
      <x:c r="S310" s="25"/>
      <x:c r="T310" s="25"/>
      <x:c r="U310" s="25"/>
      <x:c r="V310" s="25"/>
      <x:c r="W310" s="25"/>
      <x:c r="X310" s="25"/>
      <x:c r="Y310" s="25"/>
      <x:c r="Z310" s="25"/>
    </x:row>
    <x:row r="311">
      <x:c r="A311" s="25"/>
      <x:c r="B311" s="25"/>
      <x:c r="C311" s="25"/>
      <x:c r="D311" s="25"/>
      <x:c r="E311" s="25"/>
      <x:c r="F311" s="25"/>
      <x:c r="G311" s="25"/>
      <x:c r="H311" s="25"/>
      <x:c r="I311" s="25"/>
      <x:c r="J311" s="25"/>
      <x:c r="K311" s="25"/>
      <x:c r="L311" s="25"/>
      <x:c r="M311" s="25"/>
      <x:c r="N311" s="25"/>
      <x:c r="O311" s="25"/>
      <x:c r="P311" s="25"/>
      <x:c r="Q311" s="25"/>
      <x:c r="R311" s="25"/>
      <x:c r="S311" s="25"/>
      <x:c r="T311" s="25"/>
      <x:c r="U311" s="25"/>
      <x:c r="V311" s="25"/>
      <x:c r="W311" s="25"/>
      <x:c r="X311" s="25"/>
      <x:c r="Y311" s="25"/>
      <x:c r="Z311" s="25"/>
    </x:row>
    <x:row r="312">
      <x:c r="A312" s="25"/>
      <x:c r="B312" s="25"/>
      <x:c r="C312" s="25"/>
      <x:c r="D312" s="25"/>
      <x:c r="E312" s="25"/>
      <x:c r="F312" s="25"/>
      <x:c r="G312" s="25"/>
      <x:c r="H312" s="25"/>
      <x:c r="I312" s="25"/>
      <x:c r="J312" s="25"/>
      <x:c r="K312" s="25"/>
      <x:c r="L312" s="25"/>
      <x:c r="M312" s="25"/>
      <x:c r="N312" s="25"/>
      <x:c r="O312" s="25"/>
      <x:c r="P312" s="25"/>
      <x:c r="Q312" s="25"/>
      <x:c r="R312" s="25"/>
      <x:c r="S312" s="25"/>
      <x:c r="T312" s="25"/>
      <x:c r="U312" s="25"/>
      <x:c r="V312" s="25"/>
      <x:c r="W312" s="25"/>
      <x:c r="X312" s="25"/>
      <x:c r="Y312" s="25"/>
      <x:c r="Z312" s="25"/>
    </x:row>
    <x:row r="313">
      <x:c r="A313" s="25"/>
      <x:c r="B313" s="25"/>
      <x:c r="C313" s="25"/>
      <x:c r="D313" s="25"/>
      <x:c r="E313" s="25"/>
      <x:c r="F313" s="25"/>
      <x:c r="G313" s="25"/>
      <x:c r="H313" s="25"/>
      <x:c r="I313" s="25"/>
      <x:c r="J313" s="25"/>
      <x:c r="K313" s="25"/>
      <x:c r="L313" s="25"/>
      <x:c r="M313" s="25"/>
      <x:c r="N313" s="25"/>
      <x:c r="O313" s="25"/>
      <x:c r="P313" s="25"/>
      <x:c r="Q313" s="25"/>
      <x:c r="R313" s="25"/>
      <x:c r="S313" s="25"/>
      <x:c r="T313" s="25"/>
      <x:c r="U313" s="25"/>
      <x:c r="V313" s="25"/>
      <x:c r="W313" s="25"/>
      <x:c r="X313" s="25"/>
      <x:c r="Y313" s="25"/>
      <x:c r="Z313" s="25"/>
    </x:row>
    <x:row r="314">
      <x:c r="A314" s="25"/>
      <x:c r="B314" s="25"/>
      <x:c r="C314" s="25"/>
      <x:c r="D314" s="25"/>
      <x:c r="E314" s="25"/>
      <x:c r="F314" s="25"/>
      <x:c r="G314" s="25"/>
      <x:c r="H314" s="25"/>
      <x:c r="I314" s="25"/>
      <x:c r="J314" s="25"/>
      <x:c r="K314" s="25"/>
      <x:c r="L314" s="25"/>
      <x:c r="M314" s="25"/>
      <x:c r="N314" s="25"/>
      <x:c r="O314" s="25"/>
      <x:c r="P314" s="25"/>
      <x:c r="Q314" s="25"/>
      <x:c r="R314" s="25"/>
      <x:c r="S314" s="25"/>
      <x:c r="T314" s="25"/>
      <x:c r="U314" s="25"/>
      <x:c r="V314" s="25"/>
      <x:c r="W314" s="25"/>
      <x:c r="X314" s="25"/>
      <x:c r="Y314" s="25"/>
      <x:c r="Z314" s="25"/>
    </x:row>
    <x:row r="315">
      <x:c r="A315" s="25"/>
      <x:c r="B315" s="25"/>
      <x:c r="C315" s="25"/>
      <x:c r="D315" s="25"/>
      <x:c r="E315" s="25"/>
      <x:c r="F315" s="25"/>
      <x:c r="G315" s="25"/>
      <x:c r="H315" s="25"/>
      <x:c r="I315" s="25"/>
      <x:c r="J315" s="25"/>
      <x:c r="K315" s="25"/>
      <x:c r="L315" s="25"/>
      <x:c r="M315" s="25"/>
      <x:c r="N315" s="25"/>
      <x:c r="O315" s="25"/>
      <x:c r="P315" s="25"/>
      <x:c r="Q315" s="25"/>
      <x:c r="R315" s="25"/>
      <x:c r="S315" s="25"/>
      <x:c r="T315" s="25"/>
      <x:c r="U315" s="25"/>
      <x:c r="V315" s="25"/>
      <x:c r="W315" s="25"/>
      <x:c r="X315" s="25"/>
      <x:c r="Y315" s="25"/>
      <x:c r="Z315" s="25"/>
    </x:row>
    <x:row r="316">
      <x:c r="A316" s="25"/>
      <x:c r="B316" s="25"/>
      <x:c r="C316" s="25"/>
      <x:c r="D316" s="25"/>
      <x:c r="E316" s="25"/>
      <x:c r="F316" s="25"/>
      <x:c r="G316" s="25"/>
      <x:c r="H316" s="25"/>
      <x:c r="I316" s="25"/>
      <x:c r="J316" s="25"/>
      <x:c r="K316" s="25"/>
      <x:c r="L316" s="25"/>
      <x:c r="M316" s="25"/>
      <x:c r="N316" s="25"/>
      <x:c r="O316" s="25"/>
      <x:c r="P316" s="25"/>
      <x:c r="Q316" s="25"/>
      <x:c r="R316" s="25"/>
      <x:c r="S316" s="25"/>
      <x:c r="T316" s="25"/>
      <x:c r="U316" s="25"/>
      <x:c r="V316" s="25"/>
      <x:c r="W316" s="25"/>
      <x:c r="X316" s="25"/>
      <x:c r="Y316" s="25"/>
      <x:c r="Z316" s="25"/>
    </x:row>
    <x:row r="317">
      <x:c r="A317" s="25"/>
      <x:c r="B317" s="25"/>
      <x:c r="C317" s="25"/>
      <x:c r="D317" s="25"/>
      <x:c r="E317" s="25"/>
      <x:c r="F317" s="25"/>
      <x:c r="G317" s="25"/>
      <x:c r="H317" s="25"/>
      <x:c r="I317" s="25"/>
      <x:c r="J317" s="25"/>
      <x:c r="K317" s="25"/>
      <x:c r="L317" s="25"/>
      <x:c r="M317" s="25"/>
      <x:c r="N317" s="25"/>
      <x:c r="O317" s="25"/>
      <x:c r="P317" s="25"/>
      <x:c r="Q317" s="25"/>
      <x:c r="R317" s="25"/>
      <x:c r="S317" s="25"/>
      <x:c r="T317" s="25"/>
      <x:c r="U317" s="25"/>
      <x:c r="V317" s="25"/>
      <x:c r="W317" s="25"/>
      <x:c r="X317" s="25"/>
      <x:c r="Y317" s="25"/>
      <x:c r="Z317" s="25"/>
    </x:row>
    <x:row r="318">
      <x:c r="A318" s="25"/>
      <x:c r="B318" s="25"/>
      <x:c r="C318" s="25"/>
      <x:c r="D318" s="25"/>
      <x:c r="E318" s="25"/>
      <x:c r="F318" s="25"/>
      <x:c r="G318" s="25"/>
      <x:c r="H318" s="25"/>
      <x:c r="I318" s="25"/>
      <x:c r="J318" s="25"/>
      <x:c r="K318" s="25"/>
      <x:c r="L318" s="25"/>
      <x:c r="M318" s="25"/>
      <x:c r="N318" s="25"/>
      <x:c r="O318" s="25"/>
      <x:c r="P318" s="25"/>
      <x:c r="Q318" s="25"/>
      <x:c r="R318" s="25"/>
      <x:c r="S318" s="25"/>
      <x:c r="T318" s="25"/>
      <x:c r="U318" s="25"/>
      <x:c r="V318" s="25"/>
      <x:c r="W318" s="25"/>
      <x:c r="X318" s="25"/>
      <x:c r="Y318" s="25"/>
      <x:c r="Z318" s="25"/>
    </x:row>
    <x:row r="319">
      <x:c r="A319" s="25"/>
      <x:c r="B319" s="25"/>
      <x:c r="C319" s="25"/>
      <x:c r="D319" s="25"/>
      <x:c r="E319" s="25"/>
      <x:c r="F319" s="25"/>
      <x:c r="G319" s="25"/>
      <x:c r="H319" s="25"/>
      <x:c r="I319" s="25"/>
      <x:c r="J319" s="25"/>
      <x:c r="K319" s="25"/>
      <x:c r="L319" s="25"/>
      <x:c r="M319" s="25"/>
      <x:c r="N319" s="25"/>
      <x:c r="O319" s="25"/>
      <x:c r="P319" s="25"/>
      <x:c r="Q319" s="25"/>
      <x:c r="R319" s="25"/>
      <x:c r="S319" s="25"/>
      <x:c r="T319" s="25"/>
      <x:c r="U319" s="25"/>
      <x:c r="V319" s="25"/>
      <x:c r="W319" s="25"/>
      <x:c r="X319" s="25"/>
      <x:c r="Y319" s="25"/>
      <x:c r="Z319" s="25"/>
    </x:row>
    <x:row r="320">
      <x:c r="A320" s="25"/>
      <x:c r="B320" s="25"/>
      <x:c r="C320" s="25"/>
      <x:c r="D320" s="25"/>
      <x:c r="E320" s="25"/>
      <x:c r="F320" s="25"/>
      <x:c r="G320" s="25"/>
      <x:c r="H320" s="25"/>
      <x:c r="I320" s="25"/>
      <x:c r="J320" s="25"/>
      <x:c r="K320" s="25"/>
      <x:c r="L320" s="25"/>
      <x:c r="M320" s="25"/>
      <x:c r="N320" s="25"/>
      <x:c r="O320" s="25"/>
      <x:c r="P320" s="25"/>
      <x:c r="Q320" s="25"/>
      <x:c r="R320" s="25"/>
      <x:c r="S320" s="25"/>
      <x:c r="T320" s="25"/>
      <x:c r="U320" s="25"/>
      <x:c r="V320" s="25"/>
      <x:c r="W320" s="25"/>
      <x:c r="X320" s="25"/>
      <x:c r="Y320" s="25"/>
      <x:c r="Z320" s="25"/>
    </x:row>
    <x:row r="321">
      <x:c r="A321" s="25"/>
      <x:c r="B321" s="25"/>
      <x:c r="C321" s="25"/>
      <x:c r="D321" s="25"/>
      <x:c r="E321" s="25"/>
      <x:c r="F321" s="25"/>
      <x:c r="G321" s="25"/>
      <x:c r="H321" s="25"/>
      <x:c r="I321" s="25"/>
      <x:c r="J321" s="25"/>
      <x:c r="K321" s="25"/>
      <x:c r="L321" s="25"/>
      <x:c r="M321" s="25"/>
      <x:c r="N321" s="25"/>
      <x:c r="O321" s="25"/>
      <x:c r="P321" s="25"/>
      <x:c r="Q321" s="25"/>
      <x:c r="R321" s="25"/>
      <x:c r="S321" s="25"/>
      <x:c r="T321" s="25"/>
      <x:c r="U321" s="25"/>
      <x:c r="V321" s="25"/>
      <x:c r="W321" s="25"/>
      <x:c r="X321" s="25"/>
      <x:c r="Y321" s="25"/>
      <x:c r="Z321" s="25"/>
    </x:row>
    <x:row r="322">
      <x:c r="A322" s="25"/>
      <x:c r="B322" s="25"/>
      <x:c r="C322" s="25"/>
      <x:c r="D322" s="25"/>
      <x:c r="E322" s="25"/>
      <x:c r="F322" s="25"/>
      <x:c r="G322" s="25"/>
      <x:c r="H322" s="25"/>
      <x:c r="I322" s="25"/>
      <x:c r="J322" s="25"/>
      <x:c r="K322" s="25"/>
      <x:c r="L322" s="25"/>
      <x:c r="M322" s="25"/>
      <x:c r="N322" s="25"/>
      <x:c r="O322" s="25"/>
      <x:c r="P322" s="25"/>
      <x:c r="Q322" s="25"/>
      <x:c r="R322" s="25"/>
      <x:c r="S322" s="25"/>
      <x:c r="T322" s="25"/>
      <x:c r="U322" s="25"/>
      <x:c r="V322" s="25"/>
      <x:c r="W322" s="25"/>
      <x:c r="X322" s="25"/>
      <x:c r="Y322" s="25"/>
      <x:c r="Z322" s="25"/>
    </x:row>
    <x:row r="323">
      <x:c r="A323" s="25"/>
      <x:c r="B323" s="25"/>
      <x:c r="C323" s="25"/>
      <x:c r="D323" s="25"/>
      <x:c r="E323" s="25"/>
      <x:c r="F323" s="25"/>
      <x:c r="G323" s="25"/>
      <x:c r="H323" s="25"/>
      <x:c r="I323" s="25"/>
      <x:c r="J323" s="25"/>
      <x:c r="K323" s="25"/>
      <x:c r="L323" s="25"/>
      <x:c r="M323" s="25"/>
      <x:c r="N323" s="25"/>
      <x:c r="O323" s="25"/>
      <x:c r="P323" s="25"/>
      <x:c r="Q323" s="25"/>
      <x:c r="R323" s="25"/>
      <x:c r="S323" s="25"/>
      <x:c r="T323" s="25"/>
      <x:c r="U323" s="25"/>
      <x:c r="V323" s="25"/>
      <x:c r="W323" s="25"/>
      <x:c r="X323" s="25"/>
      <x:c r="Y323" s="25"/>
      <x:c r="Z323" s="25"/>
    </x:row>
    <x:row r="324">
      <x:c r="A324" s="25"/>
      <x:c r="B324" s="25"/>
      <x:c r="C324" s="25"/>
      <x:c r="D324" s="25"/>
      <x:c r="E324" s="25"/>
      <x:c r="F324" s="25"/>
      <x:c r="G324" s="25"/>
      <x:c r="H324" s="25"/>
      <x:c r="I324" s="25"/>
      <x:c r="J324" s="25"/>
      <x:c r="K324" s="25"/>
      <x:c r="L324" s="25"/>
      <x:c r="M324" s="25"/>
      <x:c r="N324" s="25"/>
      <x:c r="O324" s="25"/>
      <x:c r="P324" s="25"/>
      <x:c r="Q324" s="25"/>
      <x:c r="R324" s="25"/>
      <x:c r="S324" s="25"/>
      <x:c r="T324" s="25"/>
      <x:c r="U324" s="25"/>
      <x:c r="V324" s="25"/>
      <x:c r="W324" s="25"/>
      <x:c r="X324" s="25"/>
      <x:c r="Y324" s="25"/>
      <x:c r="Z324" s="25"/>
    </x:row>
    <x:row r="325">
      <x:c r="A325" s="25"/>
      <x:c r="B325" s="25"/>
      <x:c r="C325" s="25"/>
      <x:c r="D325" s="25"/>
      <x:c r="E325" s="25"/>
      <x:c r="F325" s="25"/>
      <x:c r="G325" s="25"/>
      <x:c r="H325" s="25"/>
      <x:c r="I325" s="25"/>
      <x:c r="J325" s="25"/>
      <x:c r="K325" s="25"/>
      <x:c r="L325" s="25"/>
      <x:c r="M325" s="25"/>
      <x:c r="N325" s="25"/>
      <x:c r="O325" s="25"/>
      <x:c r="P325" s="25"/>
      <x:c r="Q325" s="25"/>
      <x:c r="R325" s="25"/>
      <x:c r="S325" s="25"/>
      <x:c r="T325" s="25"/>
      <x:c r="U325" s="25"/>
      <x:c r="V325" s="25"/>
      <x:c r="W325" s="25"/>
      <x:c r="X325" s="25"/>
      <x:c r="Y325" s="25"/>
      <x:c r="Z325" s="25"/>
    </x:row>
    <x:row r="326">
      <x:c r="A326" s="25"/>
      <x:c r="B326" s="25"/>
      <x:c r="C326" s="25"/>
      <x:c r="D326" s="25"/>
      <x:c r="E326" s="25"/>
      <x:c r="F326" s="25"/>
      <x:c r="G326" s="25"/>
      <x:c r="H326" s="25"/>
      <x:c r="I326" s="25"/>
      <x:c r="J326" s="25"/>
      <x:c r="K326" s="25"/>
      <x:c r="L326" s="25"/>
      <x:c r="M326" s="25"/>
      <x:c r="N326" s="25"/>
      <x:c r="O326" s="25"/>
      <x:c r="P326" s="25"/>
      <x:c r="Q326" s="25"/>
      <x:c r="R326" s="25"/>
      <x:c r="S326" s="25"/>
      <x:c r="T326" s="25"/>
      <x:c r="U326" s="25"/>
      <x:c r="V326" s="25"/>
      <x:c r="W326" s="25"/>
      <x:c r="X326" s="25"/>
      <x:c r="Y326" s="25"/>
      <x:c r="Z326" s="25"/>
    </x:row>
    <x:row r="327">
      <x:c r="A327" s="25"/>
      <x:c r="B327" s="25"/>
      <x:c r="C327" s="25"/>
      <x:c r="D327" s="25"/>
      <x:c r="E327" s="25"/>
      <x:c r="F327" s="25"/>
      <x:c r="G327" s="25"/>
      <x:c r="H327" s="25"/>
      <x:c r="I327" s="25"/>
      <x:c r="J327" s="25"/>
      <x:c r="K327" s="25"/>
      <x:c r="L327" s="25"/>
      <x:c r="M327" s="25"/>
      <x:c r="N327" s="25"/>
      <x:c r="O327" s="25"/>
      <x:c r="P327" s="25"/>
      <x:c r="Q327" s="25"/>
      <x:c r="R327" s="25"/>
      <x:c r="S327" s="25"/>
      <x:c r="T327" s="25"/>
      <x:c r="U327" s="25"/>
      <x:c r="V327" s="25"/>
      <x:c r="W327" s="25"/>
      <x:c r="X327" s="25"/>
      <x:c r="Y327" s="25"/>
      <x:c r="Z327" s="25"/>
    </x:row>
    <x:row r="328">
      <x:c r="A328" s="25"/>
      <x:c r="B328" s="25"/>
      <x:c r="C328" s="25"/>
      <x:c r="D328" s="25"/>
      <x:c r="E328" s="25"/>
      <x:c r="F328" s="25"/>
      <x:c r="G328" s="25"/>
      <x:c r="H328" s="25"/>
      <x:c r="I328" s="25"/>
      <x:c r="J328" s="25"/>
      <x:c r="K328" s="25"/>
      <x:c r="L328" s="25"/>
      <x:c r="M328" s="25"/>
      <x:c r="N328" s="25"/>
      <x:c r="O328" s="25"/>
      <x:c r="P328" s="25"/>
      <x:c r="Q328" s="25"/>
      <x:c r="R328" s="25"/>
      <x:c r="S328" s="25"/>
      <x:c r="T328" s="25"/>
      <x:c r="U328" s="25"/>
      <x:c r="V328" s="25"/>
      <x:c r="W328" s="25"/>
      <x:c r="X328" s="25"/>
      <x:c r="Y328" s="25"/>
      <x:c r="Z328" s="25"/>
    </x:row>
    <x:row r="329">
      <x:c r="A329" s="25"/>
      <x:c r="B329" s="25"/>
      <x:c r="C329" s="25"/>
      <x:c r="D329" s="25"/>
      <x:c r="E329" s="25"/>
      <x:c r="F329" s="25"/>
      <x:c r="G329" s="25"/>
      <x:c r="H329" s="25"/>
      <x:c r="I329" s="25"/>
      <x:c r="J329" s="25"/>
      <x:c r="K329" s="25"/>
      <x:c r="L329" s="25"/>
      <x:c r="M329" s="25"/>
      <x:c r="N329" s="25"/>
      <x:c r="O329" s="25"/>
      <x:c r="P329" s="25"/>
      <x:c r="Q329" s="25"/>
      <x:c r="R329" s="25"/>
      <x:c r="S329" s="25"/>
      <x:c r="T329" s="25"/>
      <x:c r="U329" s="25"/>
      <x:c r="V329" s="25"/>
      <x:c r="W329" s="25"/>
      <x:c r="X329" s="25"/>
      <x:c r="Y329" s="25"/>
      <x:c r="Z329" s="25"/>
    </x:row>
    <x:row r="330">
      <x:c r="A330" s="25"/>
      <x:c r="B330" s="25"/>
      <x:c r="C330" s="25"/>
      <x:c r="D330" s="25"/>
      <x:c r="E330" s="25"/>
      <x:c r="F330" s="25"/>
      <x:c r="G330" s="25"/>
      <x:c r="H330" s="25"/>
      <x:c r="I330" s="25"/>
      <x:c r="J330" s="25"/>
      <x:c r="K330" s="25"/>
      <x:c r="L330" s="25"/>
      <x:c r="M330" s="25"/>
      <x:c r="N330" s="25"/>
      <x:c r="O330" s="25"/>
      <x:c r="P330" s="25"/>
      <x:c r="Q330" s="25"/>
      <x:c r="R330" s="25"/>
      <x:c r="S330" s="25"/>
      <x:c r="T330" s="25"/>
      <x:c r="U330" s="25"/>
      <x:c r="V330" s="25"/>
      <x:c r="W330" s="25"/>
      <x:c r="X330" s="25"/>
      <x:c r="Y330" s="25"/>
      <x:c r="Z330" s="25"/>
    </x:row>
    <x:row r="331">
      <x:c r="A331" s="25"/>
      <x:c r="B331" s="25"/>
      <x:c r="C331" s="25"/>
      <x:c r="D331" s="25"/>
      <x:c r="E331" s="25"/>
      <x:c r="F331" s="25"/>
      <x:c r="G331" s="25"/>
      <x:c r="H331" s="25"/>
      <x:c r="I331" s="25"/>
      <x:c r="J331" s="25"/>
      <x:c r="K331" s="25"/>
      <x:c r="L331" s="25"/>
      <x:c r="M331" s="25"/>
      <x:c r="N331" s="25"/>
      <x:c r="O331" s="25"/>
      <x:c r="P331" s="25"/>
      <x:c r="Q331" s="25"/>
      <x:c r="R331" s="25"/>
      <x:c r="S331" s="25"/>
      <x:c r="T331" s="25"/>
      <x:c r="U331" s="25"/>
      <x:c r="V331" s="25"/>
      <x:c r="W331" s="25"/>
      <x:c r="X331" s="25"/>
      <x:c r="Y331" s="25"/>
      <x:c r="Z331" s="25"/>
    </x:row>
    <x:row r="332">
      <x:c r="A332" s="25"/>
      <x:c r="B332" s="25"/>
      <x:c r="C332" s="25"/>
      <x:c r="D332" s="25"/>
      <x:c r="E332" s="25"/>
      <x:c r="F332" s="25"/>
      <x:c r="G332" s="25"/>
      <x:c r="H332" s="25"/>
      <x:c r="I332" s="25"/>
      <x:c r="J332" s="25"/>
      <x:c r="K332" s="25"/>
      <x:c r="L332" s="25"/>
      <x:c r="M332" s="25"/>
      <x:c r="N332" s="25"/>
      <x:c r="O332" s="25"/>
      <x:c r="P332" s="25"/>
      <x:c r="Q332" s="25"/>
      <x:c r="R332" s="25"/>
      <x:c r="S332" s="25"/>
      <x:c r="T332" s="25"/>
      <x:c r="U332" s="25"/>
      <x:c r="V332" s="25"/>
      <x:c r="W332" s="25"/>
      <x:c r="X332" s="25"/>
      <x:c r="Y332" s="25"/>
      <x:c r="Z332" s="25"/>
    </x:row>
    <x:row r="333">
      <x:c r="A333" s="25"/>
      <x:c r="B333" s="25"/>
      <x:c r="C333" s="25"/>
      <x:c r="D333" s="25"/>
      <x:c r="E333" s="25"/>
      <x:c r="F333" s="25"/>
      <x:c r="G333" s="25"/>
      <x:c r="H333" s="25"/>
      <x:c r="I333" s="25"/>
      <x:c r="J333" s="25"/>
      <x:c r="K333" s="25"/>
      <x:c r="L333" s="25"/>
      <x:c r="M333" s="25"/>
      <x:c r="N333" s="25"/>
      <x:c r="O333" s="25"/>
      <x:c r="P333" s="25"/>
      <x:c r="Q333" s="25"/>
      <x:c r="R333" s="25"/>
      <x:c r="S333" s="25"/>
      <x:c r="T333" s="25"/>
      <x:c r="U333" s="25"/>
      <x:c r="V333" s="25"/>
      <x:c r="W333" s="25"/>
      <x:c r="X333" s="25"/>
      <x:c r="Y333" s="25"/>
      <x:c r="Z333" s="25"/>
    </x:row>
    <x:row r="334">
      <x:c r="A334" s="25"/>
      <x:c r="B334" s="25"/>
      <x:c r="C334" s="25"/>
      <x:c r="D334" s="25"/>
      <x:c r="E334" s="25"/>
      <x:c r="F334" s="25"/>
      <x:c r="G334" s="25"/>
      <x:c r="H334" s="25"/>
      <x:c r="I334" s="25"/>
      <x:c r="J334" s="25"/>
      <x:c r="K334" s="25"/>
      <x:c r="L334" s="25"/>
      <x:c r="M334" s="25"/>
      <x:c r="N334" s="25"/>
      <x:c r="O334" s="25"/>
      <x:c r="P334" s="25"/>
      <x:c r="Q334" s="25"/>
      <x:c r="R334" s="25"/>
      <x:c r="S334" s="25"/>
      <x:c r="T334" s="25"/>
      <x:c r="U334" s="25"/>
      <x:c r="V334" s="25"/>
      <x:c r="W334" s="25"/>
      <x:c r="X334" s="25"/>
      <x:c r="Y334" s="25"/>
      <x:c r="Z334" s="25"/>
    </x:row>
    <x:row r="335">
      <x:c r="A335" s="25"/>
      <x:c r="B335" s="25"/>
      <x:c r="C335" s="25"/>
      <x:c r="D335" s="25"/>
      <x:c r="E335" s="25"/>
      <x:c r="F335" s="25"/>
      <x:c r="G335" s="25"/>
      <x:c r="H335" s="25"/>
      <x:c r="I335" s="25"/>
      <x:c r="J335" s="25"/>
      <x:c r="K335" s="25"/>
      <x:c r="L335" s="25"/>
      <x:c r="M335" s="25"/>
      <x:c r="N335" s="25"/>
      <x:c r="O335" s="25"/>
      <x:c r="P335" s="25"/>
      <x:c r="Q335" s="25"/>
      <x:c r="R335" s="25"/>
      <x:c r="S335" s="25"/>
      <x:c r="T335" s="25"/>
      <x:c r="U335" s="25"/>
      <x:c r="V335" s="25"/>
      <x:c r="W335" s="25"/>
      <x:c r="X335" s="25"/>
      <x:c r="Y335" s="25"/>
      <x:c r="Z335" s="25"/>
    </x:row>
    <x:row r="336">
      <x:c r="A336" s="25"/>
      <x:c r="B336" s="25"/>
      <x:c r="C336" s="25"/>
      <x:c r="D336" s="25"/>
      <x:c r="E336" s="25"/>
      <x:c r="F336" s="25"/>
      <x:c r="G336" s="25"/>
      <x:c r="H336" s="25"/>
      <x:c r="I336" s="25"/>
      <x:c r="J336" s="25"/>
      <x:c r="K336" s="25"/>
      <x:c r="L336" s="25"/>
      <x:c r="M336" s="25"/>
      <x:c r="N336" s="25"/>
      <x:c r="O336" s="25"/>
      <x:c r="P336" s="25"/>
      <x:c r="Q336" s="25"/>
      <x:c r="R336" s="25"/>
      <x:c r="S336" s="25"/>
      <x:c r="T336" s="25"/>
      <x:c r="U336" s="25"/>
      <x:c r="V336" s="25"/>
      <x:c r="W336" s="25"/>
      <x:c r="X336" s="25"/>
      <x:c r="Y336" s="25"/>
      <x:c r="Z336" s="25"/>
    </x:row>
    <x:row r="337">
      <x:c r="A337" s="25"/>
      <x:c r="B337" s="25"/>
      <x:c r="C337" s="25"/>
      <x:c r="D337" s="25"/>
      <x:c r="E337" s="25"/>
      <x:c r="F337" s="25"/>
      <x:c r="G337" s="25"/>
      <x:c r="H337" s="25"/>
      <x:c r="I337" s="25"/>
      <x:c r="J337" s="25"/>
      <x:c r="K337" s="25"/>
      <x:c r="L337" s="25"/>
      <x:c r="M337" s="25"/>
      <x:c r="N337" s="25"/>
      <x:c r="O337" s="25"/>
      <x:c r="P337" s="25"/>
      <x:c r="Q337" s="25"/>
      <x:c r="R337" s="25"/>
      <x:c r="S337" s="25"/>
      <x:c r="T337" s="25"/>
      <x:c r="U337" s="25"/>
      <x:c r="V337" s="25"/>
      <x:c r="W337" s="25"/>
      <x:c r="X337" s="25"/>
      <x:c r="Y337" s="25"/>
      <x:c r="Z337" s="25"/>
    </x:row>
    <x:row r="338">
      <x:c r="A338" s="25"/>
      <x:c r="B338" s="25"/>
      <x:c r="C338" s="25"/>
      <x:c r="D338" s="25"/>
      <x:c r="E338" s="25"/>
      <x:c r="F338" s="25"/>
      <x:c r="G338" s="25"/>
      <x:c r="H338" s="25"/>
      <x:c r="I338" s="25"/>
      <x:c r="J338" s="25"/>
      <x:c r="K338" s="25"/>
      <x:c r="L338" s="25"/>
      <x:c r="M338" s="25"/>
      <x:c r="N338" s="25"/>
      <x:c r="O338" s="25"/>
      <x:c r="P338" s="25"/>
      <x:c r="Q338" s="25"/>
      <x:c r="R338" s="25"/>
      <x:c r="S338" s="25"/>
      <x:c r="T338" s="25"/>
      <x:c r="U338" s="25"/>
      <x:c r="V338" s="25"/>
      <x:c r="W338" s="25"/>
      <x:c r="X338" s="25"/>
      <x:c r="Y338" s="25"/>
      <x:c r="Z338" s="25"/>
    </x:row>
    <x:row r="339">
      <x:c r="A339" s="25"/>
      <x:c r="B339" s="25"/>
      <x:c r="C339" s="25"/>
      <x:c r="D339" s="25"/>
      <x:c r="E339" s="25"/>
      <x:c r="F339" s="25"/>
      <x:c r="G339" s="25"/>
      <x:c r="H339" s="25"/>
      <x:c r="I339" s="25"/>
      <x:c r="J339" s="25"/>
      <x:c r="K339" s="25"/>
      <x:c r="L339" s="25"/>
      <x:c r="M339" s="25"/>
      <x:c r="N339" s="25"/>
      <x:c r="O339" s="25"/>
      <x:c r="P339" s="25"/>
      <x:c r="Q339" s="25"/>
      <x:c r="R339" s="25"/>
      <x:c r="S339" s="25"/>
      <x:c r="T339" s="25"/>
      <x:c r="U339" s="25"/>
      <x:c r="V339" s="25"/>
      <x:c r="W339" s="25"/>
      <x:c r="X339" s="25"/>
      <x:c r="Y339" s="25"/>
      <x:c r="Z339" s="25"/>
    </x:row>
    <x:row r="340">
      <x:c r="A340" s="25"/>
      <x:c r="B340" s="25"/>
      <x:c r="C340" s="25"/>
      <x:c r="D340" s="25"/>
      <x:c r="E340" s="25"/>
      <x:c r="F340" s="25"/>
      <x:c r="G340" s="25"/>
      <x:c r="H340" s="25"/>
      <x:c r="I340" s="25"/>
      <x:c r="J340" s="25"/>
      <x:c r="K340" s="25"/>
      <x:c r="L340" s="25"/>
      <x:c r="M340" s="25"/>
      <x:c r="N340" s="25"/>
      <x:c r="O340" s="25"/>
      <x:c r="P340" s="25"/>
      <x:c r="Q340" s="25"/>
      <x:c r="R340" s="25"/>
      <x:c r="S340" s="25"/>
      <x:c r="T340" s="25"/>
      <x:c r="U340" s="25"/>
      <x:c r="V340" s="25"/>
      <x:c r="W340" s="25"/>
      <x:c r="X340" s="25"/>
      <x:c r="Y340" s="25"/>
      <x:c r="Z340" s="25"/>
    </x:row>
    <x:row r="341">
      <x:c r="A341" s="25"/>
      <x:c r="B341" s="25"/>
      <x:c r="C341" s="25"/>
      <x:c r="D341" s="25"/>
      <x:c r="E341" s="25"/>
      <x:c r="F341" s="25"/>
      <x:c r="G341" s="25"/>
      <x:c r="H341" s="25"/>
      <x:c r="I341" s="25"/>
      <x:c r="J341" s="25"/>
      <x:c r="K341" s="25"/>
      <x:c r="L341" s="25"/>
      <x:c r="M341" s="25"/>
      <x:c r="N341" s="25"/>
      <x:c r="O341" s="25"/>
      <x:c r="P341" s="25"/>
      <x:c r="Q341" s="25"/>
      <x:c r="R341" s="25"/>
      <x:c r="S341" s="25"/>
      <x:c r="T341" s="25"/>
      <x:c r="U341" s="25"/>
      <x:c r="V341" s="25"/>
      <x:c r="W341" s="25"/>
      <x:c r="X341" s="25"/>
      <x:c r="Y341" s="25"/>
      <x:c r="Z341" s="25"/>
    </x:row>
    <x:row r="342">
      <x:c r="A342" s="25"/>
      <x:c r="B342" s="25"/>
      <x:c r="C342" s="25"/>
      <x:c r="D342" s="25"/>
      <x:c r="E342" s="25"/>
      <x:c r="F342" s="25"/>
      <x:c r="G342" s="25"/>
      <x:c r="H342" s="25"/>
      <x:c r="I342" s="25"/>
      <x:c r="J342" s="25"/>
      <x:c r="K342" s="25"/>
      <x:c r="L342" s="25"/>
      <x:c r="M342" s="25"/>
      <x:c r="N342" s="25"/>
      <x:c r="O342" s="25"/>
      <x:c r="P342" s="25"/>
      <x:c r="Q342" s="25"/>
      <x:c r="R342" s="25"/>
      <x:c r="S342" s="25"/>
      <x:c r="T342" s="25"/>
      <x:c r="U342" s="25"/>
      <x:c r="V342" s="25"/>
      <x:c r="W342" s="25"/>
      <x:c r="X342" s="25"/>
      <x:c r="Y342" s="25"/>
      <x:c r="Z342" s="25"/>
    </x:row>
    <x:row r="343">
      <x:c r="A343" s="25"/>
      <x:c r="B343" s="25"/>
      <x:c r="C343" s="25"/>
      <x:c r="D343" s="25"/>
      <x:c r="E343" s="25"/>
      <x:c r="F343" s="25"/>
      <x:c r="G343" s="25"/>
      <x:c r="H343" s="25"/>
      <x:c r="I343" s="25"/>
      <x:c r="J343" s="25"/>
      <x:c r="K343" s="25"/>
      <x:c r="L343" s="25"/>
      <x:c r="M343" s="25"/>
      <x:c r="N343" s="25"/>
      <x:c r="O343" s="25"/>
      <x:c r="P343" s="25"/>
      <x:c r="Q343" s="25"/>
      <x:c r="R343" s="25"/>
      <x:c r="S343" s="25"/>
      <x:c r="T343" s="25"/>
      <x:c r="U343" s="25"/>
      <x:c r="V343" s="25"/>
      <x:c r="W343" s="25"/>
      <x:c r="X343" s="25"/>
      <x:c r="Y343" s="25"/>
      <x:c r="Z343" s="25"/>
    </x:row>
    <x:row r="344">
      <x:c r="A344" s="25"/>
      <x:c r="B344" s="25"/>
      <x:c r="C344" s="25"/>
      <x:c r="D344" s="25"/>
      <x:c r="E344" s="25"/>
      <x:c r="F344" s="25"/>
      <x:c r="G344" s="25"/>
      <x:c r="H344" s="25"/>
      <x:c r="I344" s="25"/>
      <x:c r="J344" s="25"/>
      <x:c r="K344" s="25"/>
      <x:c r="L344" s="25"/>
      <x:c r="M344" s="25"/>
      <x:c r="N344" s="25"/>
      <x:c r="O344" s="25"/>
      <x:c r="P344" s="25"/>
      <x:c r="Q344" s="25"/>
      <x:c r="R344" s="25"/>
      <x:c r="S344" s="25"/>
      <x:c r="T344" s="25"/>
      <x:c r="U344" s="25"/>
      <x:c r="V344" s="25"/>
      <x:c r="W344" s="25"/>
      <x:c r="X344" s="25"/>
      <x:c r="Y344" s="25"/>
      <x:c r="Z344" s="25"/>
    </x:row>
    <x:row r="345">
      <x:c r="A345" s="25"/>
      <x:c r="B345" s="25"/>
      <x:c r="C345" s="25"/>
      <x:c r="D345" s="25"/>
      <x:c r="E345" s="25"/>
      <x:c r="F345" s="25"/>
      <x:c r="G345" s="25"/>
      <x:c r="H345" s="25"/>
      <x:c r="I345" s="25"/>
      <x:c r="J345" s="25"/>
      <x:c r="K345" s="25"/>
      <x:c r="L345" s="25"/>
      <x:c r="M345" s="25"/>
      <x:c r="N345" s="25"/>
      <x:c r="O345" s="25"/>
      <x:c r="P345" s="25"/>
      <x:c r="Q345" s="25"/>
      <x:c r="R345" s="25"/>
      <x:c r="S345" s="25"/>
      <x:c r="T345" s="25"/>
      <x:c r="U345" s="25"/>
      <x:c r="V345" s="25"/>
      <x:c r="W345" s="25"/>
      <x:c r="X345" s="25"/>
      <x:c r="Y345" s="25"/>
      <x:c r="Z345" s="25"/>
    </x:row>
    <x:row r="346">
      <x:c r="A346" s="25"/>
      <x:c r="B346" s="25"/>
      <x:c r="C346" s="25"/>
      <x:c r="D346" s="25"/>
      <x:c r="E346" s="25"/>
      <x:c r="F346" s="25"/>
      <x:c r="G346" s="25"/>
      <x:c r="H346" s="25"/>
      <x:c r="I346" s="25"/>
      <x:c r="J346" s="25"/>
      <x:c r="K346" s="25"/>
      <x:c r="L346" s="25"/>
      <x:c r="M346" s="25"/>
      <x:c r="N346" s="25"/>
      <x:c r="O346" s="25"/>
      <x:c r="P346" s="25"/>
      <x:c r="Q346" s="25"/>
      <x:c r="R346" s="25"/>
      <x:c r="S346" s="25"/>
      <x:c r="T346" s="25"/>
      <x:c r="U346" s="25"/>
      <x:c r="V346" s="25"/>
      <x:c r="W346" s="25"/>
      <x:c r="X346" s="25"/>
      <x:c r="Y346" s="25"/>
      <x:c r="Z346" s="25"/>
    </x:row>
    <x:row r="347">
      <x:c r="A347" s="25"/>
      <x:c r="B347" s="25"/>
      <x:c r="C347" s="25"/>
      <x:c r="D347" s="25"/>
      <x:c r="E347" s="25"/>
      <x:c r="F347" s="25"/>
      <x:c r="G347" s="25"/>
      <x:c r="H347" s="25"/>
      <x:c r="I347" s="25"/>
      <x:c r="J347" s="25"/>
      <x:c r="K347" s="25"/>
      <x:c r="L347" s="25"/>
      <x:c r="M347" s="25"/>
      <x:c r="N347" s="25"/>
      <x:c r="O347" s="25"/>
      <x:c r="P347" s="25"/>
      <x:c r="Q347" s="25"/>
      <x:c r="R347" s="25"/>
      <x:c r="S347" s="25"/>
      <x:c r="T347" s="25"/>
      <x:c r="U347" s="25"/>
      <x:c r="V347" s="25"/>
      <x:c r="W347" s="25"/>
      <x:c r="X347" s="25"/>
      <x:c r="Y347" s="25"/>
      <x:c r="Z347" s="25"/>
    </x:row>
    <x:row r="348">
      <x:c r="A348" s="25"/>
      <x:c r="B348" s="25"/>
      <x:c r="C348" s="25"/>
      <x:c r="D348" s="25"/>
      <x:c r="E348" s="25"/>
      <x:c r="F348" s="25"/>
      <x:c r="G348" s="25"/>
      <x:c r="H348" s="25"/>
      <x:c r="I348" s="25"/>
      <x:c r="J348" s="25"/>
      <x:c r="K348" s="25"/>
      <x:c r="L348" s="25"/>
      <x:c r="M348" s="25"/>
      <x:c r="N348" s="25"/>
      <x:c r="O348" s="25"/>
      <x:c r="P348" s="25"/>
      <x:c r="Q348" s="25"/>
      <x:c r="R348" s="25"/>
      <x:c r="S348" s="25"/>
      <x:c r="T348" s="25"/>
      <x:c r="U348" s="25"/>
      <x:c r="V348" s="25"/>
      <x:c r="W348" s="25"/>
      <x:c r="X348" s="25"/>
      <x:c r="Y348" s="25"/>
      <x:c r="Z348" s="25"/>
    </x:row>
    <x:row r="349">
      <x:c r="A349" s="25"/>
      <x:c r="B349" s="25"/>
      <x:c r="C349" s="25"/>
      <x:c r="D349" s="25"/>
      <x:c r="E349" s="25"/>
      <x:c r="F349" s="25"/>
      <x:c r="G349" s="25"/>
      <x:c r="H349" s="25"/>
      <x:c r="I349" s="25"/>
      <x:c r="J349" s="25"/>
      <x:c r="K349" s="25"/>
      <x:c r="L349" s="25"/>
      <x:c r="M349" s="25"/>
      <x:c r="N349" s="25"/>
      <x:c r="O349" s="25"/>
      <x:c r="P349" s="25"/>
      <x:c r="Q349" s="25"/>
      <x:c r="R349" s="25"/>
      <x:c r="S349" s="25"/>
      <x:c r="T349" s="25"/>
      <x:c r="U349" s="25"/>
      <x:c r="V349" s="25"/>
      <x:c r="W349" s="25"/>
      <x:c r="X349" s="25"/>
      <x:c r="Y349" s="25"/>
      <x:c r="Z349" s="25"/>
    </x:row>
    <x:row r="350">
      <x:c r="A350" s="25"/>
      <x:c r="B350" s="25"/>
      <x:c r="C350" s="25"/>
      <x:c r="D350" s="25"/>
      <x:c r="E350" s="25"/>
      <x:c r="F350" s="25"/>
      <x:c r="G350" s="25"/>
      <x:c r="H350" s="25"/>
      <x:c r="I350" s="25"/>
      <x:c r="J350" s="25"/>
      <x:c r="K350" s="25"/>
      <x:c r="L350" s="25"/>
      <x:c r="M350" s="25"/>
      <x:c r="N350" s="25"/>
      <x:c r="O350" s="25"/>
      <x:c r="P350" s="25"/>
      <x:c r="Q350" s="25"/>
      <x:c r="R350" s="25"/>
      <x:c r="S350" s="25"/>
      <x:c r="T350" s="25"/>
      <x:c r="U350" s="25"/>
      <x:c r="V350" s="25"/>
      <x:c r="W350" s="25"/>
      <x:c r="X350" s="25"/>
      <x:c r="Y350" s="25"/>
      <x:c r="Z350" s="25"/>
    </x:row>
    <x:row r="351">
      <x:c r="A351" s="25"/>
      <x:c r="B351" s="25"/>
      <x:c r="C351" s="25"/>
      <x:c r="D351" s="25"/>
      <x:c r="E351" s="25"/>
      <x:c r="F351" s="25"/>
      <x:c r="G351" s="25"/>
      <x:c r="H351" s="25"/>
      <x:c r="I351" s="25"/>
      <x:c r="J351" s="25"/>
      <x:c r="K351" s="25"/>
      <x:c r="L351" s="25"/>
      <x:c r="M351" s="25"/>
      <x:c r="N351" s="25"/>
      <x:c r="O351" s="25"/>
      <x:c r="P351" s="25"/>
      <x:c r="Q351" s="25"/>
      <x:c r="R351" s="25"/>
      <x:c r="S351" s="25"/>
      <x:c r="T351" s="25"/>
      <x:c r="U351" s="25"/>
      <x:c r="V351" s="25"/>
      <x:c r="W351" s="25"/>
      <x:c r="X351" s="25"/>
      <x:c r="Y351" s="25"/>
      <x:c r="Z351" s="25"/>
    </x:row>
    <x:row r="352">
      <x:c r="A352" s="25"/>
      <x:c r="B352" s="25"/>
      <x:c r="C352" s="25"/>
      <x:c r="D352" s="25"/>
      <x:c r="E352" s="25"/>
      <x:c r="F352" s="25"/>
      <x:c r="G352" s="25"/>
      <x:c r="H352" s="25"/>
      <x:c r="I352" s="25"/>
      <x:c r="J352" s="25"/>
      <x:c r="K352" s="25"/>
      <x:c r="L352" s="25"/>
      <x:c r="M352" s="25"/>
      <x:c r="N352" s="25"/>
      <x:c r="O352" s="25"/>
      <x:c r="P352" s="25"/>
      <x:c r="Q352" s="25"/>
      <x:c r="R352" s="25"/>
      <x:c r="S352" s="25"/>
      <x:c r="T352" s="25"/>
      <x:c r="U352" s="25"/>
      <x:c r="V352" s="25"/>
      <x:c r="W352" s="25"/>
      <x:c r="X352" s="25"/>
      <x:c r="Y352" s="25"/>
      <x:c r="Z352" s="25"/>
    </x:row>
    <x:row r="353">
      <x:c r="A353" s="25"/>
      <x:c r="B353" s="25"/>
      <x:c r="C353" s="25"/>
      <x:c r="D353" s="25"/>
      <x:c r="E353" s="25"/>
      <x:c r="F353" s="25"/>
      <x:c r="G353" s="25"/>
      <x:c r="H353" s="25"/>
      <x:c r="I353" s="25"/>
      <x:c r="J353" s="25"/>
      <x:c r="K353" s="25"/>
      <x:c r="L353" s="25"/>
      <x:c r="M353" s="25"/>
      <x:c r="N353" s="25"/>
      <x:c r="O353" s="25"/>
      <x:c r="P353" s="25"/>
      <x:c r="Q353" s="25"/>
      <x:c r="R353" s="25"/>
      <x:c r="S353" s="25"/>
      <x:c r="T353" s="25"/>
      <x:c r="U353" s="25"/>
      <x:c r="V353" s="25"/>
      <x:c r="W353" s="25"/>
      <x:c r="X353" s="25"/>
      <x:c r="Y353" s="25"/>
      <x:c r="Z353" s="25"/>
    </x:row>
    <x:row r="354">
      <x:c r="A354" s="25"/>
      <x:c r="B354" s="25"/>
      <x:c r="C354" s="25"/>
      <x:c r="D354" s="25"/>
      <x:c r="E354" s="25"/>
      <x:c r="F354" s="25"/>
      <x:c r="G354" s="25"/>
      <x:c r="H354" s="25"/>
      <x:c r="I354" s="25"/>
      <x:c r="J354" s="25"/>
      <x:c r="K354" s="25"/>
      <x:c r="L354" s="25"/>
      <x:c r="M354" s="25"/>
      <x:c r="N354" s="25"/>
      <x:c r="O354" s="25"/>
      <x:c r="P354" s="25"/>
      <x:c r="Q354" s="25"/>
      <x:c r="R354" s="25"/>
      <x:c r="S354" s="25"/>
      <x:c r="T354" s="25"/>
      <x:c r="U354" s="25"/>
      <x:c r="V354" s="25"/>
      <x:c r="W354" s="25"/>
      <x:c r="X354" s="25"/>
      <x:c r="Y354" s="25"/>
      <x:c r="Z354" s="25"/>
    </x:row>
    <x:row r="355">
      <x:c r="A355" s="25"/>
      <x:c r="B355" s="25"/>
      <x:c r="C355" s="25"/>
      <x:c r="D355" s="25"/>
      <x:c r="E355" s="25"/>
      <x:c r="F355" s="25"/>
      <x:c r="G355" s="25"/>
      <x:c r="H355" s="25"/>
      <x:c r="I355" s="25"/>
      <x:c r="J355" s="25"/>
      <x:c r="K355" s="25"/>
      <x:c r="L355" s="25"/>
      <x:c r="M355" s="25"/>
      <x:c r="N355" s="25"/>
      <x:c r="O355" s="25"/>
      <x:c r="P355" s="25"/>
      <x:c r="Q355" s="25"/>
      <x:c r="R355" s="25"/>
      <x:c r="S355" s="25"/>
      <x:c r="T355" s="25"/>
      <x:c r="U355" s="25"/>
      <x:c r="V355" s="25"/>
      <x:c r="W355" s="25"/>
      <x:c r="X355" s="25"/>
      <x:c r="Y355" s="25"/>
      <x:c r="Z355" s="25"/>
    </x:row>
    <x:row r="356">
      <x:c r="A356" s="25"/>
      <x:c r="B356" s="25"/>
      <x:c r="C356" s="25"/>
      <x:c r="D356" s="25"/>
      <x:c r="E356" s="25"/>
      <x:c r="F356" s="25"/>
      <x:c r="G356" s="25"/>
      <x:c r="H356" s="25"/>
      <x:c r="I356" s="25"/>
      <x:c r="J356" s="25"/>
      <x:c r="K356" s="25"/>
      <x:c r="L356" s="25"/>
      <x:c r="M356" s="25"/>
      <x:c r="N356" s="25"/>
      <x:c r="O356" s="25"/>
      <x:c r="P356" s="25"/>
      <x:c r="Q356" s="25"/>
      <x:c r="R356" s="25"/>
      <x:c r="S356" s="25"/>
      <x:c r="T356" s="25"/>
      <x:c r="U356" s="25"/>
      <x:c r="V356" s="25"/>
      <x:c r="W356" s="25"/>
      <x:c r="X356" s="25"/>
      <x:c r="Y356" s="25"/>
      <x:c r="Z356" s="25"/>
    </x:row>
    <x:row r="357">
      <x:c r="A357" s="25"/>
      <x:c r="B357" s="25"/>
      <x:c r="C357" s="25"/>
      <x:c r="D357" s="25"/>
      <x:c r="E357" s="25"/>
      <x:c r="F357" s="25"/>
      <x:c r="G357" s="25"/>
      <x:c r="H357" s="25"/>
      <x:c r="I357" s="25"/>
      <x:c r="J357" s="25"/>
      <x:c r="K357" s="25"/>
      <x:c r="L357" s="25"/>
      <x:c r="M357" s="25"/>
      <x:c r="N357" s="25"/>
      <x:c r="O357" s="25"/>
      <x:c r="P357" s="25"/>
      <x:c r="Q357" s="25"/>
      <x:c r="R357" s="25"/>
      <x:c r="S357" s="25"/>
      <x:c r="T357" s="25"/>
      <x:c r="U357" s="25"/>
      <x:c r="V357" s="25"/>
      <x:c r="W357" s="25"/>
      <x:c r="X357" s="25"/>
      <x:c r="Y357" s="25"/>
      <x:c r="Z357" s="25"/>
    </x:row>
    <x:row r="358">
      <x:c r="A358" s="25"/>
      <x:c r="B358" s="25"/>
      <x:c r="C358" s="25"/>
      <x:c r="D358" s="25"/>
      <x:c r="E358" s="25"/>
      <x:c r="F358" s="25"/>
      <x:c r="G358" s="25"/>
      <x:c r="H358" s="25"/>
      <x:c r="I358" s="25"/>
      <x:c r="J358" s="25"/>
      <x:c r="K358" s="25"/>
      <x:c r="L358" s="25"/>
      <x:c r="M358" s="25"/>
      <x:c r="N358" s="25"/>
      <x:c r="O358" s="25"/>
      <x:c r="P358" s="25"/>
      <x:c r="Q358" s="25"/>
      <x:c r="R358" s="25"/>
      <x:c r="S358" s="25"/>
      <x:c r="T358" s="25"/>
      <x:c r="U358" s="25"/>
      <x:c r="V358" s="25"/>
      <x:c r="W358" s="25"/>
      <x:c r="X358" s="25"/>
      <x:c r="Y358" s="25"/>
      <x:c r="Z358" s="25"/>
    </x:row>
    <x:row r="359">
      <x:c r="A359" s="25"/>
      <x:c r="B359" s="25"/>
      <x:c r="C359" s="25"/>
      <x:c r="D359" s="25"/>
      <x:c r="E359" s="25"/>
      <x:c r="F359" s="25"/>
      <x:c r="G359" s="25"/>
      <x:c r="H359" s="25"/>
      <x:c r="I359" s="25"/>
      <x:c r="J359" s="25"/>
      <x:c r="K359" s="25"/>
      <x:c r="L359" s="25"/>
      <x:c r="M359" s="25"/>
      <x:c r="N359" s="25"/>
      <x:c r="O359" s="25"/>
      <x:c r="P359" s="25"/>
      <x:c r="Q359" s="25"/>
      <x:c r="R359" s="25"/>
      <x:c r="S359" s="25"/>
      <x:c r="T359" s="25"/>
      <x:c r="U359" s="25"/>
      <x:c r="V359" s="25"/>
      <x:c r="W359" s="25"/>
      <x:c r="X359" s="25"/>
      <x:c r="Y359" s="25"/>
      <x:c r="Z359" s="25"/>
    </x:row>
    <x:row r="360">
      <x:c r="A360" s="25"/>
      <x:c r="B360" s="25"/>
      <x:c r="C360" s="25"/>
      <x:c r="D360" s="25"/>
      <x:c r="E360" s="25"/>
      <x:c r="F360" s="25"/>
      <x:c r="G360" s="25"/>
      <x:c r="H360" s="25"/>
      <x:c r="I360" s="25"/>
      <x:c r="J360" s="25"/>
      <x:c r="K360" s="25"/>
      <x:c r="L360" s="25"/>
      <x:c r="M360" s="25"/>
      <x:c r="N360" s="25"/>
      <x:c r="O360" s="25"/>
      <x:c r="P360" s="25"/>
      <x:c r="Q360" s="25"/>
      <x:c r="R360" s="25"/>
      <x:c r="S360" s="25"/>
      <x:c r="T360" s="25"/>
      <x:c r="U360" s="25"/>
      <x:c r="V360" s="25"/>
      <x:c r="W360" s="25"/>
      <x:c r="X360" s="25"/>
      <x:c r="Y360" s="25"/>
      <x:c r="Z360" s="25"/>
    </x:row>
    <x:row r="361">
      <x:c r="A361" s="25"/>
      <x:c r="B361" s="25"/>
      <x:c r="C361" s="25"/>
      <x:c r="D361" s="25"/>
      <x:c r="E361" s="25"/>
      <x:c r="F361" s="25"/>
      <x:c r="G361" s="25"/>
      <x:c r="H361" s="25"/>
      <x:c r="I361" s="25"/>
      <x:c r="J361" s="25"/>
      <x:c r="K361" s="25"/>
      <x:c r="L361" s="25"/>
      <x:c r="M361" s="25"/>
      <x:c r="N361" s="25"/>
      <x:c r="O361" s="25"/>
      <x:c r="P361" s="25"/>
      <x:c r="Q361" s="25"/>
      <x:c r="R361" s="25"/>
      <x:c r="S361" s="25"/>
      <x:c r="T361" s="25"/>
      <x:c r="U361" s="25"/>
      <x:c r="V361" s="25"/>
      <x:c r="W361" s="25"/>
      <x:c r="X361" s="25"/>
      <x:c r="Y361" s="25"/>
      <x:c r="Z361" s="25"/>
    </x:row>
    <x:row r="362">
      <x:c r="A362" s="25"/>
      <x:c r="B362" s="25"/>
      <x:c r="C362" s="25"/>
      <x:c r="D362" s="25"/>
      <x:c r="E362" s="25"/>
      <x:c r="F362" s="25"/>
      <x:c r="G362" s="25"/>
      <x:c r="H362" s="25"/>
      <x:c r="I362" s="25"/>
      <x:c r="J362" s="25"/>
      <x:c r="K362" s="25"/>
      <x:c r="L362" s="25"/>
      <x:c r="M362" s="25"/>
      <x:c r="N362" s="25"/>
      <x:c r="O362" s="25"/>
      <x:c r="P362" s="25"/>
      <x:c r="Q362" s="25"/>
      <x:c r="R362" s="25"/>
      <x:c r="S362" s="25"/>
      <x:c r="T362" s="25"/>
      <x:c r="U362" s="25"/>
      <x:c r="V362" s="25"/>
      <x:c r="W362" s="25"/>
      <x:c r="X362" s="25"/>
      <x:c r="Y362" s="25"/>
      <x:c r="Z362" s="25"/>
    </x:row>
    <x:row r="363">
      <x:c r="A363" s="25"/>
      <x:c r="B363" s="25"/>
      <x:c r="C363" s="25"/>
      <x:c r="D363" s="25"/>
      <x:c r="E363" s="25"/>
      <x:c r="F363" s="25"/>
      <x:c r="G363" s="25"/>
      <x:c r="H363" s="25"/>
      <x:c r="I363" s="25"/>
      <x:c r="J363" s="25"/>
      <x:c r="K363" s="25"/>
      <x:c r="L363" s="25"/>
      <x:c r="M363" s="25"/>
      <x:c r="N363" s="25"/>
      <x:c r="O363" s="25"/>
      <x:c r="P363" s="25"/>
      <x:c r="Q363" s="25"/>
      <x:c r="R363" s="25"/>
      <x:c r="S363" s="25"/>
      <x:c r="T363" s="25"/>
      <x:c r="U363" s="25"/>
      <x:c r="V363" s="25"/>
      <x:c r="W363" s="25"/>
      <x:c r="X363" s="25"/>
      <x:c r="Y363" s="25"/>
      <x:c r="Z363" s="25"/>
    </x:row>
    <x:row r="364">
      <x:c r="A364" s="25"/>
      <x:c r="B364" s="25"/>
      <x:c r="C364" s="25"/>
      <x:c r="D364" s="25"/>
      <x:c r="E364" s="25"/>
      <x:c r="F364" s="25"/>
      <x:c r="G364" s="25"/>
      <x:c r="H364" s="25"/>
      <x:c r="I364" s="25"/>
      <x:c r="J364" s="25"/>
      <x:c r="K364" s="25"/>
      <x:c r="L364" s="25"/>
      <x:c r="M364" s="25"/>
      <x:c r="N364" s="25"/>
      <x:c r="O364" s="25"/>
      <x:c r="P364" s="25"/>
      <x:c r="Q364" s="25"/>
      <x:c r="R364" s="25"/>
      <x:c r="S364" s="25"/>
      <x:c r="T364" s="25"/>
      <x:c r="U364" s="25"/>
      <x:c r="V364" s="25"/>
      <x:c r="W364" s="25"/>
      <x:c r="X364" s="25"/>
      <x:c r="Y364" s="25"/>
      <x:c r="Z364" s="25"/>
    </x:row>
    <x:row r="365">
      <x:c r="A365" s="25"/>
      <x:c r="B365" s="25"/>
      <x:c r="C365" s="25"/>
      <x:c r="D365" s="25"/>
      <x:c r="E365" s="25"/>
      <x:c r="F365" s="25"/>
      <x:c r="G365" s="25"/>
      <x:c r="H365" s="25"/>
      <x:c r="I365" s="25"/>
      <x:c r="J365" s="25"/>
      <x:c r="K365" s="25"/>
      <x:c r="L365" s="25"/>
      <x:c r="M365" s="25"/>
      <x:c r="N365" s="25"/>
      <x:c r="O365" s="25"/>
      <x:c r="P365" s="25"/>
      <x:c r="Q365" s="25"/>
      <x:c r="R365" s="25"/>
      <x:c r="S365" s="25"/>
      <x:c r="T365" s="25"/>
      <x:c r="U365" s="25"/>
      <x:c r="V365" s="25"/>
      <x:c r="W365" s="25"/>
      <x:c r="X365" s="25"/>
      <x:c r="Y365" s="25"/>
      <x:c r="Z365" s="25"/>
    </x:row>
    <x:row r="366">
      <x:c r="A366" s="25"/>
      <x:c r="B366" s="25"/>
      <x:c r="C366" s="25"/>
      <x:c r="D366" s="25"/>
      <x:c r="E366" s="25"/>
      <x:c r="F366" s="25"/>
      <x:c r="G366" s="25"/>
      <x:c r="H366" s="25"/>
      <x:c r="I366" s="25"/>
      <x:c r="J366" s="25"/>
      <x:c r="K366" s="25"/>
      <x:c r="L366" s="25"/>
      <x:c r="M366" s="25"/>
      <x:c r="N366" s="25"/>
      <x:c r="O366" s="25"/>
      <x:c r="P366" s="25"/>
      <x:c r="Q366" s="25"/>
      <x:c r="R366" s="25"/>
      <x:c r="S366" s="25"/>
      <x:c r="T366" s="25"/>
      <x:c r="U366" s="25"/>
      <x:c r="V366" s="25"/>
      <x:c r="W366" s="25"/>
      <x:c r="X366" s="25"/>
      <x:c r="Y366" s="25"/>
      <x:c r="Z366" s="25"/>
    </x:row>
    <x:row r="367">
      <x:c r="A367" s="25"/>
      <x:c r="B367" s="25"/>
      <x:c r="C367" s="25"/>
      <x:c r="D367" s="25"/>
      <x:c r="E367" s="25"/>
      <x:c r="F367" s="25"/>
      <x:c r="G367" s="25"/>
      <x:c r="H367" s="25"/>
      <x:c r="I367" s="25"/>
      <x:c r="J367" s="25"/>
      <x:c r="K367" s="25"/>
      <x:c r="L367" s="25"/>
      <x:c r="M367" s="25"/>
      <x:c r="N367" s="25"/>
      <x:c r="O367" s="25"/>
      <x:c r="P367" s="25"/>
      <x:c r="Q367" s="25"/>
      <x:c r="R367" s="25"/>
      <x:c r="S367" s="25"/>
      <x:c r="T367" s="25"/>
      <x:c r="U367" s="25"/>
      <x:c r="V367" s="25"/>
      <x:c r="W367" s="25"/>
      <x:c r="X367" s="25"/>
      <x:c r="Y367" s="25"/>
      <x:c r="Z367" s="25"/>
    </x:row>
    <x:row r="368">
      <x:c r="A368" s="25"/>
      <x:c r="B368" s="25"/>
      <x:c r="C368" s="25"/>
      <x:c r="D368" s="25"/>
      <x:c r="E368" s="25"/>
      <x:c r="F368" s="25"/>
      <x:c r="G368" s="25"/>
      <x:c r="H368" s="25"/>
      <x:c r="I368" s="25"/>
      <x:c r="J368" s="25"/>
      <x:c r="K368" s="25"/>
      <x:c r="L368" s="25"/>
      <x:c r="M368" s="25"/>
      <x:c r="N368" s="25"/>
      <x:c r="O368" s="25"/>
      <x:c r="P368" s="25"/>
      <x:c r="Q368" s="25"/>
      <x:c r="R368" s="25"/>
      <x:c r="S368" s="25"/>
      <x:c r="T368" s="25"/>
      <x:c r="U368" s="25"/>
      <x:c r="V368" s="25"/>
      <x:c r="W368" s="25"/>
      <x:c r="X368" s="25"/>
      <x:c r="Y368" s="25"/>
      <x:c r="Z368" s="25"/>
    </x:row>
    <x:row r="369">
      <x:c r="A369" s="25"/>
      <x:c r="B369" s="25"/>
      <x:c r="C369" s="25"/>
      <x:c r="D369" s="25"/>
      <x:c r="E369" s="25"/>
      <x:c r="F369" s="25"/>
      <x:c r="G369" s="25"/>
      <x:c r="H369" s="25"/>
      <x:c r="I369" s="25"/>
      <x:c r="J369" s="25"/>
      <x:c r="K369" s="25"/>
      <x:c r="L369" s="25"/>
      <x:c r="M369" s="25"/>
      <x:c r="N369" s="25"/>
      <x:c r="O369" s="25"/>
      <x:c r="P369" s="25"/>
      <x:c r="Q369" s="25"/>
      <x:c r="R369" s="25"/>
      <x:c r="S369" s="25"/>
      <x:c r="T369" s="25"/>
      <x:c r="U369" s="25"/>
      <x:c r="V369" s="25"/>
      <x:c r="W369" s="25"/>
      <x:c r="X369" s="25"/>
      <x:c r="Y369" s="25"/>
      <x:c r="Z369" s="25"/>
    </x:row>
    <x:row r="370">
      <x:c r="A370" s="25"/>
      <x:c r="B370" s="25"/>
      <x:c r="C370" s="25"/>
      <x:c r="D370" s="25"/>
      <x:c r="E370" s="25"/>
      <x:c r="F370" s="25"/>
      <x:c r="G370" s="25"/>
      <x:c r="H370" s="25"/>
      <x:c r="I370" s="25"/>
      <x:c r="J370" s="25"/>
      <x:c r="K370" s="25"/>
      <x:c r="L370" s="25"/>
      <x:c r="M370" s="25"/>
      <x:c r="N370" s="25"/>
      <x:c r="O370" s="25"/>
      <x:c r="P370" s="25"/>
      <x:c r="Q370" s="25"/>
      <x:c r="R370" s="25"/>
      <x:c r="S370" s="25"/>
      <x:c r="T370" s="25"/>
      <x:c r="U370" s="25"/>
      <x:c r="V370" s="25"/>
      <x:c r="W370" s="25"/>
      <x:c r="X370" s="25"/>
      <x:c r="Y370" s="25"/>
      <x:c r="Z370" s="25"/>
    </x:row>
    <x:row r="371">
      <x:c r="A371" s="25"/>
      <x:c r="B371" s="25"/>
      <x:c r="C371" s="25"/>
      <x:c r="D371" s="25"/>
      <x:c r="E371" s="25"/>
      <x:c r="F371" s="25"/>
      <x:c r="G371" s="25"/>
      <x:c r="H371" s="25"/>
      <x:c r="I371" s="25"/>
      <x:c r="J371" s="25"/>
      <x:c r="K371" s="25"/>
      <x:c r="L371" s="25"/>
      <x:c r="M371" s="25"/>
      <x:c r="N371" s="25"/>
      <x:c r="O371" s="25"/>
      <x:c r="P371" s="25"/>
      <x:c r="Q371" s="25"/>
      <x:c r="R371" s="25"/>
      <x:c r="S371" s="25"/>
      <x:c r="T371" s="25"/>
      <x:c r="U371" s="25"/>
      <x:c r="V371" s="25"/>
      <x:c r="W371" s="25"/>
      <x:c r="X371" s="25"/>
      <x:c r="Y371" s="25"/>
      <x:c r="Z371" s="25"/>
    </x:row>
    <x:row r="372">
      <x:c r="A372" s="25"/>
      <x:c r="B372" s="25"/>
      <x:c r="C372" s="25"/>
      <x:c r="D372" s="25"/>
      <x:c r="E372" s="25"/>
      <x:c r="F372" s="25"/>
      <x:c r="G372" s="25"/>
      <x:c r="H372" s="25"/>
      <x:c r="I372" s="25"/>
      <x:c r="J372" s="25"/>
      <x:c r="K372" s="25"/>
      <x:c r="L372" s="25"/>
      <x:c r="M372" s="25"/>
      <x:c r="N372" s="25"/>
      <x:c r="O372" s="25"/>
      <x:c r="P372" s="25"/>
      <x:c r="Q372" s="25"/>
      <x:c r="R372" s="25"/>
      <x:c r="S372" s="25"/>
      <x:c r="T372" s="25"/>
      <x:c r="U372" s="25"/>
      <x:c r="V372" s="25"/>
      <x:c r="W372" s="25"/>
      <x:c r="X372" s="25"/>
      <x:c r="Y372" s="25"/>
      <x:c r="Z372" s="25"/>
    </x:row>
    <x:row r="373">
      <x:c r="A373" s="25"/>
      <x:c r="B373" s="25"/>
      <x:c r="C373" s="25"/>
      <x:c r="D373" s="25"/>
      <x:c r="E373" s="25"/>
      <x:c r="F373" s="25"/>
      <x:c r="G373" s="25"/>
      <x:c r="H373" s="25"/>
      <x:c r="I373" s="25"/>
      <x:c r="J373" s="25"/>
      <x:c r="K373" s="25"/>
      <x:c r="L373" s="25"/>
      <x:c r="M373" s="25"/>
      <x:c r="N373" s="25"/>
      <x:c r="O373" s="25"/>
      <x:c r="P373" s="25"/>
      <x:c r="Q373" s="25"/>
      <x:c r="R373" s="25"/>
      <x:c r="S373" s="25"/>
      <x:c r="T373" s="25"/>
      <x:c r="U373" s="25"/>
      <x:c r="V373" s="25"/>
      <x:c r="W373" s="25"/>
      <x:c r="X373" s="25"/>
      <x:c r="Y373" s="25"/>
      <x:c r="Z373" s="25"/>
    </x:row>
    <x:row r="374">
      <x:c r="A374" s="25"/>
      <x:c r="B374" s="25"/>
      <x:c r="C374" s="25"/>
      <x:c r="D374" s="25"/>
      <x:c r="E374" s="25"/>
      <x:c r="F374" s="25"/>
      <x:c r="G374" s="25"/>
      <x:c r="H374" s="25"/>
      <x:c r="I374" s="25"/>
      <x:c r="J374" s="25"/>
      <x:c r="K374" s="25"/>
      <x:c r="L374" s="25"/>
      <x:c r="M374" s="25"/>
      <x:c r="N374" s="25"/>
      <x:c r="O374" s="25"/>
      <x:c r="P374" s="25"/>
      <x:c r="Q374" s="25"/>
      <x:c r="R374" s="25"/>
      <x:c r="S374" s="25"/>
      <x:c r="T374" s="25"/>
      <x:c r="U374" s="25"/>
      <x:c r="V374" s="25"/>
      <x:c r="W374" s="25"/>
      <x:c r="X374" s="25"/>
      <x:c r="Y374" s="25"/>
      <x:c r="Z374" s="25"/>
    </x:row>
    <x:row r="375">
      <x:c r="A375" s="25"/>
      <x:c r="B375" s="25"/>
      <x:c r="C375" s="25"/>
      <x:c r="D375" s="25"/>
      <x:c r="E375" s="25"/>
      <x:c r="F375" s="25"/>
      <x:c r="G375" s="25"/>
      <x:c r="H375" s="25"/>
      <x:c r="I375" s="25"/>
      <x:c r="J375" s="25"/>
      <x:c r="K375" s="25"/>
      <x:c r="L375" s="25"/>
      <x:c r="M375" s="25"/>
      <x:c r="N375" s="25"/>
      <x:c r="O375" s="25"/>
      <x:c r="P375" s="25"/>
      <x:c r="Q375" s="25"/>
      <x:c r="R375" s="25"/>
      <x:c r="S375" s="25"/>
      <x:c r="T375" s="25"/>
      <x:c r="U375" s="25"/>
      <x:c r="V375" s="25"/>
      <x:c r="W375" s="25"/>
      <x:c r="X375" s="25"/>
      <x:c r="Y375" s="25"/>
      <x:c r="Z375" s="25"/>
    </x:row>
    <x:row r="376">
      <x:c r="A376" s="25"/>
      <x:c r="B376" s="25"/>
      <x:c r="C376" s="25"/>
      <x:c r="D376" s="25"/>
      <x:c r="E376" s="25"/>
      <x:c r="F376" s="25"/>
      <x:c r="G376" s="25"/>
      <x:c r="H376" s="25"/>
      <x:c r="I376" s="25"/>
      <x:c r="J376" s="25"/>
      <x:c r="K376" s="25"/>
      <x:c r="L376" s="25"/>
      <x:c r="M376" s="25"/>
      <x:c r="N376" s="25"/>
      <x:c r="O376" s="25"/>
      <x:c r="P376" s="25"/>
      <x:c r="Q376" s="25"/>
      <x:c r="R376" s="25"/>
      <x:c r="S376" s="25"/>
      <x:c r="T376" s="25"/>
      <x:c r="U376" s="25"/>
      <x:c r="V376" s="25"/>
      <x:c r="W376" s="25"/>
      <x:c r="X376" s="25"/>
      <x:c r="Y376" s="25"/>
      <x:c r="Z376" s="25"/>
    </x:row>
    <x:row r="377">
      <x:c r="A377" s="25"/>
      <x:c r="B377" s="25"/>
      <x:c r="C377" s="25"/>
      <x:c r="D377" s="25"/>
      <x:c r="E377" s="25"/>
      <x:c r="F377" s="25"/>
      <x:c r="G377" s="25"/>
      <x:c r="H377" s="25"/>
      <x:c r="I377" s="25"/>
      <x:c r="J377" s="25"/>
      <x:c r="K377" s="25"/>
      <x:c r="L377" s="25"/>
      <x:c r="M377" s="25"/>
      <x:c r="N377" s="25"/>
      <x:c r="O377" s="25"/>
      <x:c r="P377" s="25"/>
      <x:c r="Q377" s="25"/>
      <x:c r="R377" s="25"/>
      <x:c r="S377" s="25"/>
      <x:c r="T377" s="25"/>
      <x:c r="U377" s="25"/>
      <x:c r="V377" s="25"/>
      <x:c r="W377" s="25"/>
      <x:c r="X377" s="25"/>
      <x:c r="Y377" s="25"/>
      <x:c r="Z377" s="25"/>
    </x:row>
    <x:row r="378">
      <x:c r="A378" s="25"/>
      <x:c r="B378" s="25"/>
      <x:c r="C378" s="25"/>
      <x:c r="D378" s="25"/>
      <x:c r="E378" s="25"/>
      <x:c r="F378" s="25"/>
      <x:c r="G378" s="25"/>
      <x:c r="H378" s="25"/>
      <x:c r="I378" s="25"/>
      <x:c r="J378" s="25"/>
      <x:c r="K378" s="25"/>
      <x:c r="L378" s="25"/>
      <x:c r="M378" s="25"/>
      <x:c r="N378" s="25"/>
      <x:c r="O378" s="25"/>
      <x:c r="P378" s="25"/>
      <x:c r="Q378" s="25"/>
      <x:c r="R378" s="25"/>
      <x:c r="S378" s="25"/>
      <x:c r="T378" s="25"/>
      <x:c r="U378" s="25"/>
      <x:c r="V378" s="25"/>
      <x:c r="W378" s="25"/>
      <x:c r="X378" s="25"/>
      <x:c r="Y378" s="25"/>
      <x:c r="Z378" s="25"/>
    </x:row>
    <x:row r="379">
      <x:c r="A379" s="25"/>
      <x:c r="B379" s="25"/>
      <x:c r="C379" s="25"/>
      <x:c r="D379" s="25"/>
      <x:c r="E379" s="25"/>
      <x:c r="F379" s="25"/>
      <x:c r="G379" s="25"/>
      <x:c r="H379" s="25"/>
      <x:c r="I379" s="25"/>
      <x:c r="J379" s="25"/>
      <x:c r="K379" s="25"/>
      <x:c r="L379" s="25"/>
      <x:c r="M379" s="25"/>
      <x:c r="N379" s="25"/>
      <x:c r="O379" s="25"/>
      <x:c r="P379" s="25"/>
      <x:c r="Q379" s="25"/>
      <x:c r="R379" s="25"/>
      <x:c r="S379" s="25"/>
      <x:c r="T379" s="25"/>
      <x:c r="U379" s="25"/>
      <x:c r="V379" s="25"/>
      <x:c r="W379" s="25"/>
      <x:c r="X379" s="25"/>
      <x:c r="Y379" s="25"/>
      <x:c r="Z379" s="25"/>
    </x:row>
    <x:row r="380">
      <x:c r="A380" s="25"/>
      <x:c r="B380" s="25"/>
      <x:c r="C380" s="25"/>
      <x:c r="D380" s="25"/>
      <x:c r="E380" s="25"/>
      <x:c r="F380" s="25"/>
      <x:c r="G380" s="25"/>
      <x:c r="H380" s="25"/>
      <x:c r="I380" s="25"/>
      <x:c r="J380" s="25"/>
      <x:c r="K380" s="25"/>
      <x:c r="L380" s="25"/>
      <x:c r="M380" s="25"/>
      <x:c r="N380" s="25"/>
      <x:c r="O380" s="25"/>
      <x:c r="P380" s="25"/>
      <x:c r="Q380" s="25"/>
      <x:c r="R380" s="25"/>
      <x:c r="S380" s="25"/>
      <x:c r="T380" s="25"/>
      <x:c r="U380" s="25"/>
      <x:c r="V380" s="25"/>
      <x:c r="W380" s="25"/>
      <x:c r="X380" s="25"/>
      <x:c r="Y380" s="25"/>
      <x:c r="Z380" s="25"/>
    </x:row>
    <x:row r="381">
      <x:c r="A381" s="25"/>
      <x:c r="B381" s="25"/>
      <x:c r="C381" s="25"/>
      <x:c r="D381" s="25"/>
      <x:c r="E381" s="25"/>
      <x:c r="F381" s="25"/>
      <x:c r="G381" s="25"/>
      <x:c r="H381" s="25"/>
      <x:c r="I381" s="25"/>
      <x:c r="J381" s="25"/>
      <x:c r="K381" s="25"/>
      <x:c r="L381" s="25"/>
      <x:c r="M381" s="25"/>
      <x:c r="N381" s="25"/>
      <x:c r="O381" s="25"/>
      <x:c r="P381" s="25"/>
      <x:c r="Q381" s="25"/>
      <x:c r="R381" s="25"/>
      <x:c r="S381" s="25"/>
      <x:c r="T381" s="25"/>
      <x:c r="U381" s="25"/>
      <x:c r="V381" s="25"/>
      <x:c r="W381" s="25"/>
      <x:c r="X381" s="25"/>
      <x:c r="Y381" s="25"/>
      <x:c r="Z381" s="25"/>
    </x:row>
    <x:row r="382">
      <x:c r="A382" s="25"/>
      <x:c r="B382" s="25"/>
      <x:c r="C382" s="25"/>
      <x:c r="D382" s="25"/>
      <x:c r="E382" s="25"/>
      <x:c r="F382" s="25"/>
      <x:c r="G382" s="25"/>
      <x:c r="H382" s="25"/>
      <x:c r="I382" s="25"/>
      <x:c r="J382" s="25"/>
      <x:c r="K382" s="25"/>
      <x:c r="L382" s="25"/>
      <x:c r="M382" s="25"/>
      <x:c r="N382" s="25"/>
      <x:c r="O382" s="25"/>
      <x:c r="P382" s="25"/>
      <x:c r="Q382" s="25"/>
      <x:c r="R382" s="25"/>
      <x:c r="S382" s="25"/>
      <x:c r="T382" s="25"/>
      <x:c r="U382" s="25"/>
      <x:c r="V382" s="25"/>
      <x:c r="W382" s="25"/>
      <x:c r="X382" s="25"/>
      <x:c r="Y382" s="25"/>
      <x:c r="Z382" s="25"/>
    </x:row>
    <x:row r="383">
      <x:c r="A383" s="25"/>
      <x:c r="B383" s="25"/>
      <x:c r="C383" s="25"/>
      <x:c r="D383" s="25"/>
      <x:c r="E383" s="25"/>
      <x:c r="F383" s="25"/>
      <x:c r="G383" s="25"/>
      <x:c r="H383" s="25"/>
      <x:c r="I383" s="25"/>
      <x:c r="J383" s="25"/>
      <x:c r="K383" s="25"/>
      <x:c r="L383" s="25"/>
      <x:c r="M383" s="25"/>
      <x:c r="N383" s="25"/>
      <x:c r="O383" s="25"/>
      <x:c r="P383" s="25"/>
      <x:c r="Q383" s="25"/>
      <x:c r="R383" s="25"/>
      <x:c r="S383" s="25"/>
      <x:c r="T383" s="25"/>
      <x:c r="U383" s="25"/>
      <x:c r="V383" s="25"/>
      <x:c r="W383" s="25"/>
      <x:c r="X383" s="25"/>
      <x:c r="Y383" s="25"/>
      <x:c r="Z383" s="25"/>
    </x:row>
    <x:row r="384">
      <x:c r="A384" s="25"/>
      <x:c r="B384" s="25"/>
      <x:c r="C384" s="25"/>
      <x:c r="D384" s="25"/>
      <x:c r="E384" s="25"/>
      <x:c r="F384" s="25"/>
      <x:c r="G384" s="25"/>
      <x:c r="H384" s="25"/>
      <x:c r="I384" s="25"/>
      <x:c r="J384" s="25"/>
      <x:c r="K384" s="25"/>
      <x:c r="L384" s="25"/>
      <x:c r="M384" s="25"/>
      <x:c r="N384" s="25"/>
      <x:c r="O384" s="25"/>
      <x:c r="P384" s="25"/>
      <x:c r="Q384" s="25"/>
      <x:c r="R384" s="25"/>
      <x:c r="S384" s="25"/>
      <x:c r="T384" s="25"/>
      <x:c r="U384" s="25"/>
      <x:c r="V384" s="25"/>
      <x:c r="W384" s="25"/>
      <x:c r="X384" s="25"/>
      <x:c r="Y384" s="25"/>
      <x:c r="Z384" s="25"/>
    </x:row>
    <x:row r="385">
      <x:c r="A385" s="25"/>
      <x:c r="B385" s="25"/>
      <x:c r="C385" s="25"/>
      <x:c r="D385" s="25"/>
      <x:c r="E385" s="25"/>
      <x:c r="F385" s="25"/>
      <x:c r="G385" s="25"/>
      <x:c r="H385" s="25"/>
      <x:c r="I385" s="25"/>
      <x:c r="J385" s="25"/>
      <x:c r="K385" s="25"/>
      <x:c r="L385" s="25"/>
      <x:c r="M385" s="25"/>
      <x:c r="N385" s="25"/>
      <x:c r="O385" s="25"/>
      <x:c r="P385" s="25"/>
      <x:c r="Q385" s="25"/>
      <x:c r="R385" s="25"/>
      <x:c r="S385" s="25"/>
      <x:c r="T385" s="25"/>
      <x:c r="U385" s="25"/>
      <x:c r="V385" s="25"/>
      <x:c r="W385" s="25"/>
      <x:c r="X385" s="25"/>
      <x:c r="Y385" s="25"/>
      <x:c r="Z385" s="25"/>
    </x:row>
    <x:row r="386">
      <x:c r="A386" s="25"/>
      <x:c r="B386" s="25"/>
      <x:c r="C386" s="25"/>
      <x:c r="D386" s="25"/>
      <x:c r="E386" s="25"/>
      <x:c r="F386" s="25"/>
      <x:c r="G386" s="25"/>
      <x:c r="H386" s="25"/>
      <x:c r="I386" s="25"/>
      <x:c r="J386" s="25"/>
      <x:c r="K386" s="25"/>
      <x:c r="L386" s="25"/>
      <x:c r="M386" s="25"/>
      <x:c r="N386" s="25"/>
      <x:c r="O386" s="25"/>
      <x:c r="P386" s="25"/>
      <x:c r="Q386" s="25"/>
      <x:c r="R386" s="25"/>
      <x:c r="S386" s="25"/>
      <x:c r="T386" s="25"/>
      <x:c r="U386" s="25"/>
      <x:c r="V386" s="25"/>
      <x:c r="W386" s="25"/>
      <x:c r="X386" s="25"/>
      <x:c r="Y386" s="25"/>
      <x:c r="Z386" s="25"/>
    </x:row>
    <x:row r="387">
      <x:c r="A387" s="25"/>
      <x:c r="B387" s="25"/>
      <x:c r="C387" s="25"/>
      <x:c r="D387" s="25"/>
      <x:c r="E387" s="25"/>
      <x:c r="F387" s="25"/>
      <x:c r="G387" s="25"/>
      <x:c r="H387" s="25"/>
      <x:c r="I387" s="25"/>
      <x:c r="J387" s="25"/>
      <x:c r="K387" s="25"/>
      <x:c r="L387" s="25"/>
      <x:c r="M387" s="25"/>
      <x:c r="N387" s="25"/>
      <x:c r="O387" s="25"/>
      <x:c r="P387" s="25"/>
      <x:c r="Q387" s="25"/>
      <x:c r="R387" s="25"/>
      <x:c r="S387" s="25"/>
      <x:c r="T387" s="25"/>
      <x:c r="U387" s="25"/>
      <x:c r="V387" s="25"/>
      <x:c r="W387" s="25"/>
      <x:c r="X387" s="25"/>
      <x:c r="Y387" s="25"/>
      <x:c r="Z387" s="25"/>
    </x:row>
    <x:row r="388">
      <x:c r="A388" s="25"/>
      <x:c r="B388" s="25"/>
      <x:c r="C388" s="25"/>
      <x:c r="D388" s="25"/>
      <x:c r="E388" s="25"/>
      <x:c r="F388" s="25"/>
      <x:c r="G388" s="25"/>
      <x:c r="H388" s="25"/>
      <x:c r="I388" s="25"/>
      <x:c r="J388" s="25"/>
      <x:c r="K388" s="25"/>
      <x:c r="L388" s="25"/>
      <x:c r="M388" s="25"/>
      <x:c r="N388" s="25"/>
      <x:c r="O388" s="25"/>
      <x:c r="P388" s="25"/>
      <x:c r="Q388" s="25"/>
      <x:c r="R388" s="25"/>
      <x:c r="S388" s="25"/>
      <x:c r="T388" s="25"/>
      <x:c r="U388" s="25"/>
      <x:c r="V388" s="25"/>
      <x:c r="W388" s="25"/>
      <x:c r="X388" s="25"/>
      <x:c r="Y388" s="25"/>
      <x:c r="Z388" s="25"/>
    </x:row>
    <x:row r="389">
      <x:c r="A389" s="25"/>
      <x:c r="B389" s="25"/>
      <x:c r="C389" s="25"/>
      <x:c r="D389" s="25"/>
      <x:c r="E389" s="25"/>
      <x:c r="F389" s="25"/>
      <x:c r="G389" s="25"/>
      <x:c r="H389" s="25"/>
      <x:c r="I389" s="25"/>
      <x:c r="J389" s="25"/>
      <x:c r="K389" s="25"/>
      <x:c r="L389" s="25"/>
      <x:c r="M389" s="25"/>
      <x:c r="N389" s="25"/>
      <x:c r="O389" s="25"/>
      <x:c r="P389" s="25"/>
      <x:c r="Q389" s="25"/>
      <x:c r="R389" s="25"/>
      <x:c r="S389" s="25"/>
      <x:c r="T389" s="25"/>
      <x:c r="U389" s="25"/>
      <x:c r="V389" s="25"/>
      <x:c r="W389" s="25"/>
      <x:c r="X389" s="25"/>
      <x:c r="Y389" s="25"/>
      <x:c r="Z389" s="25"/>
    </x:row>
    <x:row r="390">
      <x:c r="A390" s="25"/>
      <x:c r="B390" s="25"/>
      <x:c r="C390" s="25"/>
      <x:c r="D390" s="25"/>
      <x:c r="E390" s="25"/>
      <x:c r="F390" s="25"/>
      <x:c r="G390" s="25"/>
      <x:c r="H390" s="25"/>
      <x:c r="I390" s="25"/>
      <x:c r="J390" s="25"/>
      <x:c r="K390" s="25"/>
      <x:c r="L390" s="25"/>
      <x:c r="M390" s="25"/>
      <x:c r="N390" s="25"/>
      <x:c r="O390" s="25"/>
      <x:c r="P390" s="25"/>
      <x:c r="Q390" s="25"/>
      <x:c r="R390" s="25"/>
      <x:c r="S390" s="25"/>
      <x:c r="T390" s="25"/>
      <x:c r="U390" s="25"/>
      <x:c r="V390" s="25"/>
      <x:c r="W390" s="25"/>
      <x:c r="X390" s="25"/>
      <x:c r="Y390" s="25"/>
      <x:c r="Z390" s="25"/>
    </x:row>
    <x:row r="391">
      <x:c r="A391" s="25"/>
      <x:c r="B391" s="25"/>
      <x:c r="C391" s="25"/>
      <x:c r="D391" s="25"/>
      <x:c r="E391" s="25"/>
      <x:c r="F391" s="25"/>
      <x:c r="G391" s="25"/>
      <x:c r="H391" s="25"/>
      <x:c r="I391" s="25"/>
      <x:c r="J391" s="25"/>
      <x:c r="K391" s="25"/>
      <x:c r="L391" s="25"/>
      <x:c r="M391" s="25"/>
      <x:c r="N391" s="25"/>
      <x:c r="O391" s="25"/>
      <x:c r="P391" s="25"/>
      <x:c r="Q391" s="25"/>
      <x:c r="R391" s="25"/>
      <x:c r="S391" s="25"/>
      <x:c r="T391" s="25"/>
      <x:c r="U391" s="25"/>
      <x:c r="V391" s="25"/>
      <x:c r="W391" s="25"/>
      <x:c r="X391" s="25"/>
      <x:c r="Y391" s="25"/>
      <x:c r="Z391" s="25"/>
    </x:row>
    <x:row r="392">
      <x:c r="A392" s="25"/>
      <x:c r="B392" s="25"/>
      <x:c r="C392" s="25"/>
      <x:c r="D392" s="25"/>
      <x:c r="E392" s="25"/>
      <x:c r="F392" s="25"/>
      <x:c r="G392" s="25"/>
      <x:c r="H392" s="25"/>
      <x:c r="I392" s="25"/>
      <x:c r="J392" s="25"/>
      <x:c r="K392" s="25"/>
      <x:c r="L392" s="25"/>
      <x:c r="M392" s="25"/>
      <x:c r="N392" s="25"/>
      <x:c r="O392" s="25"/>
      <x:c r="P392" s="25"/>
      <x:c r="Q392" s="25"/>
      <x:c r="R392" s="25"/>
      <x:c r="S392" s="25"/>
      <x:c r="T392" s="25"/>
      <x:c r="U392" s="25"/>
      <x:c r="V392" s="25"/>
      <x:c r="W392" s="25"/>
      <x:c r="X392" s="25"/>
      <x:c r="Y392" s="25"/>
      <x:c r="Z392" s="25"/>
    </x:row>
    <x:row r="393">
      <x:c r="A393" s="25"/>
      <x:c r="B393" s="25"/>
      <x:c r="C393" s="25"/>
      <x:c r="D393" s="25"/>
      <x:c r="E393" s="25"/>
      <x:c r="F393" s="25"/>
      <x:c r="G393" s="25"/>
      <x:c r="H393" s="25"/>
      <x:c r="I393" s="25"/>
      <x:c r="J393" s="25"/>
      <x:c r="K393" s="25"/>
      <x:c r="L393" s="25"/>
      <x:c r="M393" s="25"/>
      <x:c r="N393" s="25"/>
      <x:c r="O393" s="25"/>
      <x:c r="P393" s="25"/>
      <x:c r="Q393" s="25"/>
      <x:c r="R393" s="25"/>
      <x:c r="S393" s="25"/>
      <x:c r="T393" s="25"/>
      <x:c r="U393" s="25"/>
      <x:c r="V393" s="25"/>
      <x:c r="W393" s="25"/>
      <x:c r="X393" s="25"/>
      <x:c r="Y393" s="25"/>
      <x:c r="Z393" s="25"/>
    </x:row>
    <x:row r="394">
      <x:c r="A394" s="25"/>
      <x:c r="B394" s="25"/>
      <x:c r="C394" s="25"/>
      <x:c r="D394" s="25"/>
      <x:c r="E394" s="25"/>
      <x:c r="F394" s="25"/>
      <x:c r="G394" s="25"/>
      <x:c r="H394" s="25"/>
      <x:c r="I394" s="25"/>
      <x:c r="J394" s="25"/>
      <x:c r="K394" s="25"/>
      <x:c r="L394" s="25"/>
      <x:c r="M394" s="25"/>
      <x:c r="N394" s="25"/>
      <x:c r="O394" s="25"/>
      <x:c r="P394" s="25"/>
      <x:c r="Q394" s="25"/>
      <x:c r="R394" s="25"/>
      <x:c r="S394" s="25"/>
      <x:c r="T394" s="25"/>
      <x:c r="U394" s="25"/>
      <x:c r="V394" s="25"/>
      <x:c r="W394" s="25"/>
      <x:c r="X394" s="25"/>
      <x:c r="Y394" s="25"/>
      <x:c r="Z394" s="25"/>
    </x:row>
    <x:row r="395">
      <x:c r="A395" s="25"/>
      <x:c r="B395" s="25"/>
      <x:c r="C395" s="25"/>
      <x:c r="D395" s="25"/>
      <x:c r="E395" s="25"/>
      <x:c r="F395" s="25"/>
      <x:c r="G395" s="25"/>
      <x:c r="H395" s="25"/>
      <x:c r="I395" s="25"/>
      <x:c r="J395" s="25"/>
      <x:c r="K395" s="25"/>
      <x:c r="L395" s="25"/>
      <x:c r="M395" s="25"/>
      <x:c r="N395" s="25"/>
      <x:c r="O395" s="25"/>
      <x:c r="P395" s="25"/>
      <x:c r="Q395" s="25"/>
      <x:c r="R395" s="25"/>
      <x:c r="S395" s="25"/>
      <x:c r="T395" s="25"/>
      <x:c r="U395" s="25"/>
      <x:c r="V395" s="25"/>
      <x:c r="W395" s="25"/>
      <x:c r="X395" s="25"/>
      <x:c r="Y395" s="25"/>
      <x:c r="Z395" s="25"/>
    </x:row>
    <x:row r="396">
      <x:c r="A396" s="25"/>
      <x:c r="B396" s="25"/>
      <x:c r="C396" s="25"/>
      <x:c r="D396" s="25"/>
      <x:c r="E396" s="25"/>
      <x:c r="F396" s="25"/>
      <x:c r="G396" s="25"/>
      <x:c r="H396" s="25"/>
      <x:c r="I396" s="25"/>
      <x:c r="J396" s="25"/>
      <x:c r="K396" s="25"/>
      <x:c r="L396" s="25"/>
      <x:c r="M396" s="25"/>
      <x:c r="N396" s="25"/>
      <x:c r="O396" s="25"/>
      <x:c r="P396" s="25"/>
      <x:c r="Q396" s="25"/>
      <x:c r="R396" s="25"/>
      <x:c r="S396" s="25"/>
      <x:c r="T396" s="25"/>
      <x:c r="U396" s="25"/>
      <x:c r="V396" s="25"/>
      <x:c r="W396" s="25"/>
      <x:c r="X396" s="25"/>
      <x:c r="Y396" s="25"/>
      <x:c r="Z396" s="25"/>
    </x:row>
    <x:row r="397">
      <x:c r="A397" s="25"/>
      <x:c r="B397" s="25"/>
      <x:c r="C397" s="25"/>
      <x:c r="D397" s="25"/>
      <x:c r="E397" s="25"/>
      <x:c r="F397" s="25"/>
      <x:c r="G397" s="25"/>
      <x:c r="H397" s="25"/>
      <x:c r="I397" s="25"/>
      <x:c r="J397" s="25"/>
      <x:c r="K397" s="25"/>
      <x:c r="L397" s="25"/>
      <x:c r="M397" s="25"/>
      <x:c r="N397" s="25"/>
      <x:c r="O397" s="25"/>
      <x:c r="P397" s="25"/>
      <x:c r="Q397" s="25"/>
      <x:c r="R397" s="25"/>
      <x:c r="S397" s="25"/>
      <x:c r="T397" s="25"/>
      <x:c r="U397" s="25"/>
      <x:c r="V397" s="25"/>
      <x:c r="W397" s="25"/>
      <x:c r="X397" s="25"/>
      <x:c r="Y397" s="25"/>
      <x:c r="Z397" s="25"/>
    </x:row>
    <x:row r="398">
      <x:c r="A398" s="25"/>
      <x:c r="B398" s="25"/>
      <x:c r="C398" s="25"/>
      <x:c r="D398" s="25"/>
      <x:c r="E398" s="25"/>
      <x:c r="F398" s="25"/>
      <x:c r="G398" s="25"/>
      <x:c r="H398" s="25"/>
      <x:c r="I398" s="25"/>
      <x:c r="J398" s="25"/>
      <x:c r="K398" s="25"/>
      <x:c r="L398" s="25"/>
      <x:c r="M398" s="25"/>
      <x:c r="N398" s="25"/>
      <x:c r="O398" s="25"/>
      <x:c r="P398" s="25"/>
      <x:c r="Q398" s="25"/>
      <x:c r="R398" s="25"/>
      <x:c r="S398" s="25"/>
      <x:c r="T398" s="25"/>
      <x:c r="U398" s="25"/>
      <x:c r="V398" s="25"/>
      <x:c r="W398" s="25"/>
      <x:c r="X398" s="25"/>
      <x:c r="Y398" s="25"/>
      <x:c r="Z398" s="25"/>
    </x:row>
    <x:row r="399">
      <x:c r="A399" s="25"/>
      <x:c r="B399" s="25"/>
      <x:c r="C399" s="25"/>
      <x:c r="D399" s="25"/>
      <x:c r="E399" s="25"/>
      <x:c r="F399" s="25"/>
      <x:c r="G399" s="25"/>
      <x:c r="H399" s="25"/>
      <x:c r="I399" s="25"/>
      <x:c r="J399" s="25"/>
      <x:c r="K399" s="25"/>
      <x:c r="L399" s="25"/>
      <x:c r="M399" s="25"/>
      <x:c r="N399" s="25"/>
      <x:c r="O399" s="25"/>
      <x:c r="P399" s="25"/>
      <x:c r="Q399" s="25"/>
      <x:c r="R399" s="25"/>
      <x:c r="S399" s="25"/>
      <x:c r="T399" s="25"/>
      <x:c r="U399" s="25"/>
      <x:c r="V399" s="25"/>
      <x:c r="W399" s="25"/>
      <x:c r="X399" s="25"/>
      <x:c r="Y399" s="25"/>
      <x:c r="Z399" s="25"/>
    </x:row>
    <x:row r="400">
      <x:c r="A400" s="25"/>
      <x:c r="B400" s="25"/>
      <x:c r="C400" s="25"/>
      <x:c r="D400" s="25"/>
      <x:c r="E400" s="25"/>
      <x:c r="F400" s="25"/>
      <x:c r="G400" s="25"/>
      <x:c r="H400" s="25"/>
      <x:c r="I400" s="25"/>
      <x:c r="J400" s="25"/>
      <x:c r="K400" s="25"/>
      <x:c r="L400" s="25"/>
      <x:c r="M400" s="25"/>
      <x:c r="N400" s="25"/>
      <x:c r="O400" s="25"/>
      <x:c r="P400" s="25"/>
      <x:c r="Q400" s="25"/>
      <x:c r="R400" s="25"/>
      <x:c r="S400" s="25"/>
      <x:c r="T400" s="25"/>
      <x:c r="U400" s="25"/>
      <x:c r="V400" s="25"/>
      <x:c r="W400" s="25"/>
      <x:c r="X400" s="25"/>
      <x:c r="Y400" s="25"/>
      <x:c r="Z400" s="25"/>
    </x:row>
    <x:row r="401">
      <x:c r="A401" s="25"/>
      <x:c r="B401" s="25"/>
      <x:c r="C401" s="25"/>
      <x:c r="D401" s="25"/>
      <x:c r="E401" s="25"/>
      <x:c r="F401" s="25"/>
      <x:c r="G401" s="25"/>
      <x:c r="H401" s="25"/>
      <x:c r="I401" s="25"/>
      <x:c r="J401" s="25"/>
      <x:c r="K401" s="25"/>
      <x:c r="L401" s="25"/>
      <x:c r="M401" s="25"/>
      <x:c r="N401" s="25"/>
      <x:c r="O401" s="25"/>
      <x:c r="P401" s="25"/>
      <x:c r="Q401" s="25"/>
      <x:c r="R401" s="25"/>
      <x:c r="S401" s="25"/>
      <x:c r="T401" s="25"/>
      <x:c r="U401" s="25"/>
      <x:c r="V401" s="25"/>
      <x:c r="W401" s="25"/>
      <x:c r="X401" s="25"/>
      <x:c r="Y401" s="25"/>
      <x:c r="Z401" s="25"/>
    </x:row>
    <x:row r="402">
      <x:c r="A402" s="25"/>
      <x:c r="B402" s="25"/>
      <x:c r="C402" s="25"/>
      <x:c r="D402" s="25"/>
      <x:c r="E402" s="25"/>
      <x:c r="F402" s="25"/>
      <x:c r="G402" s="25"/>
      <x:c r="H402" s="25"/>
      <x:c r="I402" s="25"/>
      <x:c r="J402" s="25"/>
      <x:c r="K402" s="25"/>
      <x:c r="L402" s="25"/>
      <x:c r="M402" s="25"/>
      <x:c r="N402" s="25"/>
      <x:c r="O402" s="25"/>
      <x:c r="P402" s="25"/>
      <x:c r="Q402" s="25"/>
      <x:c r="R402" s="25"/>
      <x:c r="S402" s="25"/>
      <x:c r="T402" s="25"/>
      <x:c r="U402" s="25"/>
      <x:c r="V402" s="25"/>
      <x:c r="W402" s="25"/>
      <x:c r="X402" s="25"/>
      <x:c r="Y402" s="25"/>
      <x:c r="Z402" s="25"/>
    </x:row>
    <x:row r="403">
      <x:c r="A403" s="25"/>
      <x:c r="B403" s="25"/>
      <x:c r="C403" s="25"/>
      <x:c r="D403" s="25"/>
      <x:c r="E403" s="25"/>
      <x:c r="F403" s="25"/>
      <x:c r="G403" s="25"/>
      <x:c r="H403" s="25"/>
      <x:c r="I403" s="25"/>
      <x:c r="J403" s="25"/>
      <x:c r="K403" s="25"/>
      <x:c r="L403" s="25"/>
      <x:c r="M403" s="25"/>
      <x:c r="N403" s="25"/>
      <x:c r="O403" s="25"/>
      <x:c r="P403" s="25"/>
      <x:c r="Q403" s="25"/>
      <x:c r="R403" s="25"/>
      <x:c r="S403" s="25"/>
      <x:c r="T403" s="25"/>
      <x:c r="U403" s="25"/>
      <x:c r="V403" s="25"/>
      <x:c r="W403" s="25"/>
      <x:c r="X403" s="25"/>
      <x:c r="Y403" s="25"/>
      <x:c r="Z403" s="25"/>
    </x:row>
    <x:row r="404">
      <x:c r="A404" s="25"/>
      <x:c r="B404" s="25"/>
      <x:c r="C404" s="25"/>
      <x:c r="D404" s="25"/>
      <x:c r="E404" s="25"/>
      <x:c r="F404" s="25"/>
      <x:c r="G404" s="25"/>
      <x:c r="H404" s="25"/>
      <x:c r="I404" s="25"/>
      <x:c r="J404" s="25"/>
      <x:c r="K404" s="25"/>
      <x:c r="L404" s="25"/>
      <x:c r="M404" s="25"/>
      <x:c r="N404" s="25"/>
      <x:c r="O404" s="25"/>
      <x:c r="P404" s="25"/>
      <x:c r="Q404" s="25"/>
      <x:c r="R404" s="25"/>
      <x:c r="S404" s="25"/>
      <x:c r="T404" s="25"/>
      <x:c r="U404" s="25"/>
      <x:c r="V404" s="25"/>
      <x:c r="W404" s="25"/>
      <x:c r="X404" s="25"/>
      <x:c r="Y404" s="25"/>
      <x:c r="Z404" s="25"/>
    </x:row>
    <x:row r="405">
      <x:c r="A405" s="25"/>
      <x:c r="B405" s="25"/>
      <x:c r="C405" s="25"/>
      <x:c r="D405" s="25"/>
      <x:c r="E405" s="25"/>
      <x:c r="F405" s="25"/>
      <x:c r="G405" s="25"/>
      <x:c r="H405" s="25"/>
      <x:c r="I405" s="25"/>
      <x:c r="J405" s="25"/>
      <x:c r="K405" s="25"/>
      <x:c r="L405" s="25"/>
      <x:c r="M405" s="25"/>
      <x:c r="N405" s="25"/>
      <x:c r="O405" s="25"/>
      <x:c r="P405" s="25"/>
      <x:c r="Q405" s="25"/>
      <x:c r="R405" s="25"/>
      <x:c r="S405" s="25"/>
      <x:c r="T405" s="25"/>
      <x:c r="U405" s="25"/>
      <x:c r="V405" s="25"/>
      <x:c r="W405" s="25"/>
      <x:c r="X405" s="25"/>
      <x:c r="Y405" s="25"/>
      <x:c r="Z405" s="25"/>
    </x:row>
    <x:row r="406">
      <x:c r="A406" s="25"/>
      <x:c r="B406" s="25"/>
      <x:c r="C406" s="25"/>
      <x:c r="D406" s="25"/>
      <x:c r="E406" s="25"/>
      <x:c r="F406" s="25"/>
      <x:c r="G406" s="25"/>
      <x:c r="H406" s="25"/>
      <x:c r="I406" s="25"/>
      <x:c r="J406" s="25"/>
      <x:c r="K406" s="25"/>
      <x:c r="L406" s="25"/>
      <x:c r="M406" s="25"/>
      <x:c r="N406" s="25"/>
      <x:c r="O406" s="25"/>
      <x:c r="P406" s="25"/>
      <x:c r="Q406" s="25"/>
      <x:c r="R406" s="25"/>
      <x:c r="S406" s="25"/>
      <x:c r="T406" s="25"/>
      <x:c r="U406" s="25"/>
      <x:c r="V406" s="25"/>
      <x:c r="W406" s="25"/>
      <x:c r="X406" s="25"/>
      <x:c r="Y406" s="25"/>
      <x:c r="Z406" s="25"/>
    </x:row>
    <x:row r="407">
      <x:c r="A407" s="25"/>
      <x:c r="B407" s="25"/>
      <x:c r="C407" s="25"/>
      <x:c r="D407" s="25"/>
      <x:c r="E407" s="25"/>
      <x:c r="F407" s="25"/>
      <x:c r="G407" s="25"/>
      <x:c r="H407" s="25"/>
      <x:c r="I407" s="25"/>
      <x:c r="J407" s="25"/>
      <x:c r="K407" s="25"/>
      <x:c r="L407" s="25"/>
      <x:c r="M407" s="25"/>
      <x:c r="N407" s="25"/>
      <x:c r="O407" s="25"/>
      <x:c r="P407" s="25"/>
      <x:c r="Q407" s="25"/>
      <x:c r="R407" s="25"/>
      <x:c r="S407" s="25"/>
      <x:c r="T407" s="25"/>
      <x:c r="U407" s="25"/>
      <x:c r="V407" s="25"/>
      <x:c r="W407" s="25"/>
      <x:c r="X407" s="25"/>
      <x:c r="Y407" s="25"/>
      <x:c r="Z407" s="25"/>
    </x:row>
    <x:row r="408">
      <x:c r="A408" s="25"/>
      <x:c r="B408" s="25"/>
      <x:c r="C408" s="25"/>
      <x:c r="D408" s="25"/>
      <x:c r="E408" s="25"/>
      <x:c r="F408" s="25"/>
      <x:c r="G408" s="25"/>
      <x:c r="H408" s="25"/>
      <x:c r="I408" s="25"/>
      <x:c r="J408" s="25"/>
      <x:c r="K408" s="25"/>
      <x:c r="L408" s="25"/>
      <x:c r="M408" s="25"/>
      <x:c r="N408" s="25"/>
      <x:c r="O408" s="25"/>
      <x:c r="P408" s="25"/>
      <x:c r="Q408" s="25"/>
      <x:c r="R408" s="25"/>
      <x:c r="S408" s="25"/>
      <x:c r="T408" s="25"/>
      <x:c r="U408" s="25"/>
      <x:c r="V408" s="25"/>
      <x:c r="W408" s="25"/>
      <x:c r="X408" s="25"/>
      <x:c r="Y408" s="25"/>
      <x:c r="Z408" s="25"/>
    </x:row>
    <x:row r="409">
      <x:c r="A409" s="25"/>
      <x:c r="B409" s="25"/>
      <x:c r="C409" s="25"/>
      <x:c r="D409" s="25"/>
      <x:c r="E409" s="25"/>
      <x:c r="F409" s="25"/>
      <x:c r="G409" s="25"/>
      <x:c r="H409" s="25"/>
      <x:c r="I409" s="25"/>
      <x:c r="J409" s="25"/>
      <x:c r="K409" s="25"/>
      <x:c r="L409" s="25"/>
      <x:c r="M409" s="25"/>
      <x:c r="N409" s="25"/>
      <x:c r="O409" s="25"/>
      <x:c r="P409" s="25"/>
      <x:c r="Q409" s="25"/>
      <x:c r="R409" s="25"/>
      <x:c r="S409" s="25"/>
      <x:c r="T409" s="25"/>
      <x:c r="U409" s="25"/>
      <x:c r="V409" s="25"/>
      <x:c r="W409" s="25"/>
      <x:c r="X409" s="25"/>
      <x:c r="Y409" s="25"/>
      <x:c r="Z409" s="25"/>
    </x:row>
    <x:row r="410">
      <x:c r="A410" s="25"/>
      <x:c r="B410" s="25"/>
      <x:c r="C410" s="25"/>
      <x:c r="D410" s="25"/>
      <x:c r="E410" s="25"/>
      <x:c r="F410" s="25"/>
      <x:c r="G410" s="25"/>
      <x:c r="H410" s="25"/>
      <x:c r="I410" s="25"/>
      <x:c r="J410" s="25"/>
      <x:c r="K410" s="25"/>
      <x:c r="L410" s="25"/>
      <x:c r="M410" s="25"/>
      <x:c r="N410" s="25"/>
      <x:c r="O410" s="25"/>
      <x:c r="P410" s="25"/>
      <x:c r="Q410" s="25"/>
      <x:c r="R410" s="25"/>
      <x:c r="S410" s="25"/>
      <x:c r="T410" s="25"/>
      <x:c r="U410" s="25"/>
      <x:c r="V410" s="25"/>
      <x:c r="W410" s="25"/>
      <x:c r="X410" s="25"/>
      <x:c r="Y410" s="25"/>
      <x:c r="Z410" s="25"/>
    </x:row>
    <x:row r="411">
      <x:c r="A411" s="25"/>
      <x:c r="B411" s="25"/>
      <x:c r="C411" s="25"/>
      <x:c r="D411" s="25"/>
      <x:c r="E411" s="25"/>
      <x:c r="F411" s="25"/>
      <x:c r="G411" s="25"/>
      <x:c r="H411" s="25"/>
      <x:c r="I411" s="25"/>
      <x:c r="J411" s="25"/>
      <x:c r="K411" s="25"/>
      <x:c r="L411" s="25"/>
      <x:c r="M411" s="25"/>
      <x:c r="N411" s="25"/>
      <x:c r="O411" s="25"/>
      <x:c r="P411" s="25"/>
      <x:c r="Q411" s="25"/>
      <x:c r="R411" s="25"/>
      <x:c r="S411" s="25"/>
      <x:c r="T411" s="25"/>
      <x:c r="U411" s="25"/>
      <x:c r="V411" s="25"/>
      <x:c r="W411" s="25"/>
      <x:c r="X411" s="25"/>
      <x:c r="Y411" s="25"/>
      <x:c r="Z411" s="25"/>
    </x:row>
    <x:row r="412">
      <x:c r="A412" s="25"/>
      <x:c r="B412" s="25"/>
      <x:c r="C412" s="25"/>
      <x:c r="D412" s="25"/>
      <x:c r="E412" s="25"/>
      <x:c r="F412" s="25"/>
      <x:c r="G412" s="25"/>
      <x:c r="H412" s="25"/>
      <x:c r="I412" s="25"/>
      <x:c r="J412" s="25"/>
      <x:c r="K412" s="25"/>
      <x:c r="L412" s="25"/>
      <x:c r="M412" s="25"/>
      <x:c r="N412" s="25"/>
      <x:c r="O412" s="25"/>
      <x:c r="P412" s="25"/>
      <x:c r="Q412" s="25"/>
      <x:c r="R412" s="25"/>
      <x:c r="S412" s="25"/>
      <x:c r="T412" s="25"/>
      <x:c r="U412" s="25"/>
      <x:c r="V412" s="25"/>
      <x:c r="W412" s="25"/>
      <x:c r="X412" s="25"/>
      <x:c r="Y412" s="25"/>
      <x:c r="Z412" s="25"/>
    </x:row>
    <x:row r="413">
      <x:c r="A413" s="25"/>
      <x:c r="B413" s="25"/>
      <x:c r="C413" s="25"/>
      <x:c r="D413" s="25"/>
      <x:c r="E413" s="25"/>
      <x:c r="F413" s="25"/>
      <x:c r="G413" s="25"/>
      <x:c r="H413" s="25"/>
      <x:c r="I413" s="25"/>
      <x:c r="J413" s="25"/>
      <x:c r="K413" s="25"/>
      <x:c r="L413" s="25"/>
      <x:c r="M413" s="25"/>
      <x:c r="N413" s="25"/>
      <x:c r="O413" s="25"/>
      <x:c r="P413" s="25"/>
      <x:c r="Q413" s="25"/>
      <x:c r="R413" s="25"/>
      <x:c r="S413" s="25"/>
      <x:c r="T413" s="25"/>
      <x:c r="U413" s="25"/>
      <x:c r="V413" s="25"/>
      <x:c r="W413" s="25"/>
      <x:c r="X413" s="25"/>
      <x:c r="Y413" s="25"/>
      <x:c r="Z413" s="25"/>
    </x:row>
    <x:row r="414">
      <x:c r="A414" s="25"/>
      <x:c r="B414" s="25"/>
      <x:c r="C414" s="25"/>
      <x:c r="D414" s="25"/>
      <x:c r="E414" s="25"/>
      <x:c r="F414" s="25"/>
      <x:c r="G414" s="25"/>
      <x:c r="H414" s="25"/>
      <x:c r="I414" s="25"/>
      <x:c r="J414" s="25"/>
      <x:c r="K414" s="25"/>
      <x:c r="L414" s="25"/>
      <x:c r="M414" s="25"/>
      <x:c r="N414" s="25"/>
      <x:c r="O414" s="25"/>
      <x:c r="P414" s="25"/>
      <x:c r="Q414" s="25"/>
      <x:c r="R414" s="25"/>
      <x:c r="S414" s="25"/>
      <x:c r="T414" s="25"/>
      <x:c r="U414" s="25"/>
      <x:c r="V414" s="25"/>
      <x:c r="W414" s="25"/>
      <x:c r="X414" s="25"/>
      <x:c r="Y414" s="25"/>
      <x:c r="Z414" s="25"/>
    </x:row>
    <x:row r="415">
      <x:c r="A415" s="25"/>
      <x:c r="B415" s="25"/>
      <x:c r="C415" s="25"/>
      <x:c r="D415" s="25"/>
      <x:c r="E415" s="25"/>
      <x:c r="F415" s="25"/>
      <x:c r="G415" s="25"/>
      <x:c r="H415" s="25"/>
      <x:c r="I415" s="25"/>
      <x:c r="J415" s="25"/>
      <x:c r="K415" s="25"/>
      <x:c r="L415" s="25"/>
      <x:c r="M415" s="25"/>
      <x:c r="N415" s="25"/>
      <x:c r="O415" s="25"/>
      <x:c r="P415" s="25"/>
      <x:c r="Q415" s="25"/>
      <x:c r="R415" s="25"/>
      <x:c r="S415" s="25"/>
      <x:c r="T415" s="25"/>
      <x:c r="U415" s="25"/>
      <x:c r="V415" s="25"/>
      <x:c r="W415" s="25"/>
      <x:c r="X415" s="25"/>
      <x:c r="Y415" s="25"/>
      <x:c r="Z415" s="25"/>
    </x:row>
    <x:row r="416">
      <x:c r="A416" s="25"/>
      <x:c r="B416" s="25"/>
      <x:c r="C416" s="25"/>
      <x:c r="D416" s="25"/>
      <x:c r="E416" s="25"/>
      <x:c r="F416" s="25"/>
      <x:c r="G416" s="25"/>
      <x:c r="H416" s="25"/>
      <x:c r="I416" s="25"/>
      <x:c r="J416" s="25"/>
      <x:c r="K416" s="25"/>
      <x:c r="L416" s="25"/>
      <x:c r="M416" s="25"/>
      <x:c r="N416" s="25"/>
      <x:c r="O416" s="25"/>
      <x:c r="P416" s="25"/>
      <x:c r="Q416" s="25"/>
      <x:c r="R416" s="25"/>
      <x:c r="S416" s="25"/>
      <x:c r="T416" s="25"/>
      <x:c r="U416" s="25"/>
      <x:c r="V416" s="25"/>
      <x:c r="W416" s="25"/>
      <x:c r="X416" s="25"/>
      <x:c r="Y416" s="25"/>
      <x:c r="Z416" s="25"/>
    </x:row>
    <x:row r="417">
      <x:c r="A417" s="25"/>
      <x:c r="B417" s="25"/>
      <x:c r="C417" s="25"/>
      <x:c r="D417" s="25"/>
      <x:c r="E417" s="25"/>
      <x:c r="F417" s="25"/>
      <x:c r="G417" s="25"/>
      <x:c r="H417" s="25"/>
      <x:c r="I417" s="25"/>
      <x:c r="J417" s="25"/>
      <x:c r="K417" s="25"/>
      <x:c r="L417" s="25"/>
      <x:c r="M417" s="25"/>
      <x:c r="N417" s="25"/>
      <x:c r="O417" s="25"/>
      <x:c r="P417" s="25"/>
      <x:c r="Q417" s="25"/>
      <x:c r="R417" s="25"/>
      <x:c r="S417" s="25"/>
      <x:c r="T417" s="25"/>
      <x:c r="U417" s="25"/>
      <x:c r="V417" s="25"/>
      <x:c r="W417" s="25"/>
      <x:c r="X417" s="25"/>
      <x:c r="Y417" s="25"/>
      <x:c r="Z417" s="25"/>
    </x:row>
    <x:row r="418">
      <x:c r="A418" s="25"/>
      <x:c r="B418" s="25"/>
      <x:c r="C418" s="25"/>
      <x:c r="D418" s="25"/>
      <x:c r="E418" s="25"/>
      <x:c r="F418" s="25"/>
      <x:c r="G418" s="25"/>
      <x:c r="H418" s="25"/>
      <x:c r="I418" s="25"/>
      <x:c r="J418" s="25"/>
      <x:c r="K418" s="25"/>
      <x:c r="L418" s="25"/>
      <x:c r="M418" s="25"/>
      <x:c r="N418" s="25"/>
      <x:c r="O418" s="25"/>
      <x:c r="P418" s="25"/>
      <x:c r="Q418" s="25"/>
      <x:c r="R418" s="25"/>
      <x:c r="S418" s="25"/>
      <x:c r="T418" s="25"/>
      <x:c r="U418" s="25"/>
      <x:c r="V418" s="25"/>
      <x:c r="W418" s="25"/>
      <x:c r="X418" s="25"/>
      <x:c r="Y418" s="25"/>
      <x:c r="Z418" s="25"/>
    </x:row>
    <x:row r="419">
      <x:c r="A419" s="25"/>
      <x:c r="B419" s="25"/>
      <x:c r="C419" s="25"/>
      <x:c r="D419" s="25"/>
      <x:c r="E419" s="25"/>
      <x:c r="F419" s="25"/>
      <x:c r="G419" s="25"/>
      <x:c r="H419" s="25"/>
      <x:c r="I419" s="25"/>
      <x:c r="J419" s="25"/>
      <x:c r="K419" s="25"/>
      <x:c r="L419" s="25"/>
      <x:c r="M419" s="25"/>
      <x:c r="N419" s="25"/>
      <x:c r="O419" s="25"/>
      <x:c r="P419" s="25"/>
      <x:c r="Q419" s="25"/>
      <x:c r="R419" s="25"/>
      <x:c r="S419" s="25"/>
      <x:c r="T419" s="25"/>
      <x:c r="U419" s="25"/>
      <x:c r="V419" s="25"/>
      <x:c r="W419" s="25"/>
      <x:c r="X419" s="25"/>
      <x:c r="Y419" s="25"/>
      <x:c r="Z419" s="25"/>
    </x:row>
    <x:row r="420">
      <x:c r="A420" s="25"/>
      <x:c r="B420" s="25"/>
      <x:c r="C420" s="25"/>
      <x:c r="D420" s="25"/>
      <x:c r="E420" s="25"/>
      <x:c r="F420" s="25"/>
      <x:c r="G420" s="25"/>
      <x:c r="H420" s="25"/>
      <x:c r="I420" s="25"/>
      <x:c r="J420" s="25"/>
      <x:c r="K420" s="25"/>
      <x:c r="L420" s="25"/>
      <x:c r="M420" s="25"/>
      <x:c r="N420" s="25"/>
      <x:c r="O420" s="25"/>
      <x:c r="P420" s="25"/>
      <x:c r="Q420" s="25"/>
      <x:c r="R420" s="25"/>
      <x:c r="S420" s="25"/>
      <x:c r="T420" s="25"/>
      <x:c r="U420" s="25"/>
      <x:c r="V420" s="25"/>
      <x:c r="W420" s="25"/>
      <x:c r="X420" s="25"/>
      <x:c r="Y420" s="25"/>
      <x:c r="Z420" s="25"/>
    </x:row>
    <x:row r="421">
      <x:c r="A421" s="25"/>
      <x:c r="B421" s="25"/>
      <x:c r="C421" s="25"/>
      <x:c r="D421" s="25"/>
      <x:c r="E421" s="25"/>
      <x:c r="F421" s="25"/>
      <x:c r="G421" s="25"/>
      <x:c r="H421" s="25"/>
      <x:c r="I421" s="25"/>
      <x:c r="J421" s="25"/>
      <x:c r="K421" s="25"/>
      <x:c r="L421" s="25"/>
      <x:c r="M421" s="25"/>
      <x:c r="N421" s="25"/>
      <x:c r="O421" s="25"/>
      <x:c r="P421" s="25"/>
      <x:c r="Q421" s="25"/>
      <x:c r="R421" s="25"/>
      <x:c r="S421" s="25"/>
      <x:c r="T421" s="25"/>
      <x:c r="U421" s="25"/>
      <x:c r="V421" s="25"/>
      <x:c r="W421" s="25"/>
      <x:c r="X421" s="25"/>
      <x:c r="Y421" s="25"/>
      <x:c r="Z421" s="25"/>
    </x:row>
    <x:row r="422">
      <x:c r="A422" s="25"/>
      <x:c r="B422" s="25"/>
      <x:c r="C422" s="25"/>
      <x:c r="D422" s="25"/>
      <x:c r="E422" s="25"/>
      <x:c r="F422" s="25"/>
      <x:c r="G422" s="25"/>
      <x:c r="H422" s="25"/>
      <x:c r="I422" s="25"/>
      <x:c r="J422" s="25"/>
      <x:c r="K422" s="25"/>
      <x:c r="L422" s="25"/>
      <x:c r="M422" s="25"/>
      <x:c r="N422" s="25"/>
      <x:c r="O422" s="25"/>
      <x:c r="P422" s="25"/>
      <x:c r="Q422" s="25"/>
      <x:c r="R422" s="25"/>
      <x:c r="S422" s="25"/>
      <x:c r="T422" s="25"/>
      <x:c r="U422" s="25"/>
      <x:c r="V422" s="25"/>
      <x:c r="W422" s="25"/>
      <x:c r="X422" s="25"/>
      <x:c r="Y422" s="25"/>
      <x:c r="Z422" s="25"/>
    </x:row>
    <x:row r="423">
      <x:c r="A423" s="25"/>
      <x:c r="B423" s="25"/>
      <x:c r="C423" s="25"/>
      <x:c r="D423" s="25"/>
      <x:c r="E423" s="25"/>
      <x:c r="F423" s="25"/>
      <x:c r="G423" s="25"/>
      <x:c r="H423" s="25"/>
      <x:c r="I423" s="25"/>
      <x:c r="J423" s="25"/>
      <x:c r="K423" s="25"/>
      <x:c r="L423" s="25"/>
      <x:c r="M423" s="25"/>
      <x:c r="N423" s="25"/>
      <x:c r="O423" s="25"/>
      <x:c r="P423" s="25"/>
      <x:c r="Q423" s="25"/>
      <x:c r="R423" s="25"/>
      <x:c r="S423" s="25"/>
      <x:c r="T423" s="25"/>
      <x:c r="U423" s="25"/>
      <x:c r="V423" s="25"/>
      <x:c r="W423" s="25"/>
      <x:c r="X423" s="25"/>
      <x:c r="Y423" s="25"/>
      <x:c r="Z423" s="25"/>
    </x:row>
    <x:row r="424">
      <x:c r="A424" s="25"/>
      <x:c r="B424" s="25"/>
      <x:c r="C424" s="25"/>
      <x:c r="D424" s="25"/>
      <x:c r="E424" s="25"/>
      <x:c r="F424" s="25"/>
      <x:c r="G424" s="25"/>
      <x:c r="H424" s="25"/>
      <x:c r="I424" s="25"/>
      <x:c r="J424" s="25"/>
      <x:c r="K424" s="25"/>
      <x:c r="L424" s="25"/>
      <x:c r="M424" s="25"/>
      <x:c r="N424" s="25"/>
      <x:c r="O424" s="25"/>
      <x:c r="P424" s="25"/>
      <x:c r="Q424" s="25"/>
      <x:c r="R424" s="25"/>
      <x:c r="S424" s="25"/>
      <x:c r="T424" s="25"/>
      <x:c r="U424" s="25"/>
      <x:c r="V424" s="25"/>
      <x:c r="W424" s="25"/>
      <x:c r="X424" s="25"/>
      <x:c r="Y424" s="25"/>
      <x:c r="Z424" s="25"/>
    </x:row>
    <x:row r="425">
      <x:c r="A425" s="25"/>
      <x:c r="B425" s="25"/>
      <x:c r="C425" s="25"/>
      <x:c r="D425" s="25"/>
      <x:c r="E425" s="25"/>
      <x:c r="F425" s="25"/>
      <x:c r="G425" s="25"/>
      <x:c r="H425" s="25"/>
      <x:c r="I425" s="25"/>
      <x:c r="J425" s="25"/>
      <x:c r="K425" s="25"/>
      <x:c r="L425" s="25"/>
      <x:c r="M425" s="25"/>
      <x:c r="N425" s="25"/>
      <x:c r="O425" s="25"/>
      <x:c r="P425" s="25"/>
      <x:c r="Q425" s="25"/>
      <x:c r="R425" s="25"/>
      <x:c r="S425" s="25"/>
      <x:c r="T425" s="25"/>
      <x:c r="U425" s="25"/>
      <x:c r="V425" s="25"/>
      <x:c r="W425" s="25"/>
      <x:c r="X425" s="25"/>
      <x:c r="Y425" s="25"/>
      <x:c r="Z425" s="25"/>
    </x:row>
    <x:row r="426">
      <x:c r="A426" s="25"/>
      <x:c r="B426" s="25"/>
      <x:c r="C426" s="25"/>
      <x:c r="D426" s="25"/>
      <x:c r="E426" s="25"/>
      <x:c r="F426" s="25"/>
      <x:c r="G426" s="25"/>
      <x:c r="H426" s="25"/>
      <x:c r="I426" s="25"/>
      <x:c r="J426" s="25"/>
      <x:c r="K426" s="25"/>
      <x:c r="L426" s="25"/>
      <x:c r="M426" s="25"/>
      <x:c r="N426" s="25"/>
      <x:c r="O426" s="25"/>
      <x:c r="P426" s="25"/>
      <x:c r="Q426" s="25"/>
      <x:c r="R426" s="25"/>
      <x:c r="S426" s="25"/>
      <x:c r="T426" s="25"/>
      <x:c r="U426" s="25"/>
      <x:c r="V426" s="25"/>
      <x:c r="W426" s="25"/>
      <x:c r="X426" s="25"/>
      <x:c r="Y426" s="25"/>
      <x:c r="Z426" s="25"/>
    </x:row>
    <x:row r="427">
      <x:c r="A427" s="25"/>
      <x:c r="B427" s="25"/>
      <x:c r="C427" s="25"/>
      <x:c r="D427" s="25"/>
      <x:c r="E427" s="25"/>
      <x:c r="F427" s="25"/>
      <x:c r="G427" s="25"/>
      <x:c r="H427" s="25"/>
      <x:c r="I427" s="25"/>
      <x:c r="J427" s="25"/>
      <x:c r="K427" s="25"/>
      <x:c r="L427" s="25"/>
      <x:c r="M427" s="25"/>
      <x:c r="N427" s="25"/>
      <x:c r="O427" s="25"/>
      <x:c r="P427" s="25"/>
      <x:c r="Q427" s="25"/>
      <x:c r="R427" s="25"/>
      <x:c r="S427" s="25"/>
      <x:c r="T427" s="25"/>
      <x:c r="U427" s="25"/>
      <x:c r="V427" s="25"/>
      <x:c r="W427" s="25"/>
      <x:c r="X427" s="25"/>
      <x:c r="Y427" s="25"/>
      <x:c r="Z427" s="25"/>
    </x:row>
    <x:row r="428">
      <x:c r="A428" s="25"/>
      <x:c r="B428" s="25"/>
      <x:c r="C428" s="25"/>
      <x:c r="D428" s="25"/>
      <x:c r="E428" s="25"/>
      <x:c r="F428" s="25"/>
      <x:c r="G428" s="25"/>
      <x:c r="H428" s="25"/>
      <x:c r="I428" s="25"/>
      <x:c r="J428" s="25"/>
      <x:c r="K428" s="25"/>
      <x:c r="L428" s="25"/>
      <x:c r="M428" s="25"/>
      <x:c r="N428" s="25"/>
      <x:c r="O428" s="25"/>
      <x:c r="P428" s="25"/>
      <x:c r="Q428" s="25"/>
      <x:c r="R428" s="25"/>
      <x:c r="S428" s="25"/>
      <x:c r="T428" s="25"/>
      <x:c r="U428" s="25"/>
      <x:c r="V428" s="25"/>
      <x:c r="W428" s="25"/>
      <x:c r="X428" s="25"/>
      <x:c r="Y428" s="25"/>
      <x:c r="Z428" s="25"/>
    </x:row>
    <x:row r="429">
      <x:c r="A429" s="25"/>
      <x:c r="B429" s="25"/>
      <x:c r="C429" s="25"/>
      <x:c r="D429" s="25"/>
      <x:c r="E429" s="25"/>
      <x:c r="F429" s="25"/>
      <x:c r="G429" s="25"/>
      <x:c r="H429" s="25"/>
      <x:c r="I429" s="25"/>
      <x:c r="J429" s="25"/>
      <x:c r="K429" s="25"/>
      <x:c r="L429" s="25"/>
      <x:c r="M429" s="25"/>
      <x:c r="N429" s="25"/>
      <x:c r="O429" s="25"/>
      <x:c r="P429" s="25"/>
      <x:c r="Q429" s="25"/>
      <x:c r="R429" s="25"/>
      <x:c r="S429" s="25"/>
      <x:c r="T429" s="25"/>
      <x:c r="U429" s="25"/>
      <x:c r="V429" s="25"/>
      <x:c r="W429" s="25"/>
      <x:c r="X429" s="25"/>
      <x:c r="Y429" s="25"/>
      <x:c r="Z429" s="25"/>
    </x:row>
    <x:row r="430">
      <x:c r="A430" s="25"/>
      <x:c r="B430" s="25"/>
      <x:c r="C430" s="25"/>
      <x:c r="D430" s="25"/>
      <x:c r="E430" s="25"/>
      <x:c r="F430" s="25"/>
      <x:c r="G430" s="25"/>
      <x:c r="H430" s="25"/>
      <x:c r="I430" s="25"/>
      <x:c r="J430" s="25"/>
      <x:c r="K430" s="25"/>
      <x:c r="L430" s="25"/>
      <x:c r="M430" s="25"/>
      <x:c r="N430" s="25"/>
      <x:c r="O430" s="25"/>
      <x:c r="P430" s="25"/>
      <x:c r="Q430" s="25"/>
      <x:c r="R430" s="25"/>
      <x:c r="S430" s="25"/>
      <x:c r="T430" s="25"/>
      <x:c r="U430" s="25"/>
      <x:c r="V430" s="25"/>
      <x:c r="W430" s="25"/>
      <x:c r="X430" s="25"/>
      <x:c r="Y430" s="25"/>
      <x:c r="Z430" s="25"/>
    </x:row>
    <x:row r="431">
      <x:c r="A431" s="25"/>
      <x:c r="B431" s="25"/>
      <x:c r="C431" s="25"/>
      <x:c r="D431" s="25"/>
      <x:c r="E431" s="25"/>
      <x:c r="F431" s="25"/>
      <x:c r="G431" s="25"/>
      <x:c r="H431" s="25"/>
      <x:c r="I431" s="25"/>
      <x:c r="J431" s="25"/>
      <x:c r="K431" s="25"/>
      <x:c r="L431" s="25"/>
      <x:c r="M431" s="25"/>
      <x:c r="N431" s="25"/>
      <x:c r="O431" s="25"/>
      <x:c r="P431" s="25"/>
      <x:c r="Q431" s="25"/>
      <x:c r="R431" s="25"/>
      <x:c r="S431" s="25"/>
      <x:c r="T431" s="25"/>
      <x:c r="U431" s="25"/>
      <x:c r="V431" s="25"/>
      <x:c r="W431" s="25"/>
      <x:c r="X431" s="25"/>
      <x:c r="Y431" s="25"/>
      <x:c r="Z431" s="25"/>
    </x:row>
    <x:row r="432">
      <x:c r="A432" s="25"/>
      <x:c r="B432" s="25"/>
      <x:c r="C432" s="25"/>
      <x:c r="D432" s="25"/>
      <x:c r="E432" s="25"/>
      <x:c r="F432" s="25"/>
      <x:c r="G432" s="25"/>
      <x:c r="H432" s="25"/>
      <x:c r="I432" s="25"/>
      <x:c r="J432" s="25"/>
      <x:c r="K432" s="25"/>
      <x:c r="L432" s="25"/>
      <x:c r="M432" s="25"/>
      <x:c r="N432" s="25"/>
      <x:c r="O432" s="25"/>
      <x:c r="P432" s="25"/>
      <x:c r="Q432" s="25"/>
      <x:c r="R432" s="25"/>
      <x:c r="S432" s="25"/>
      <x:c r="T432" s="25"/>
      <x:c r="U432" s="25"/>
      <x:c r="V432" s="25"/>
      <x:c r="W432" s="25"/>
      <x:c r="X432" s="25"/>
      <x:c r="Y432" s="25"/>
      <x:c r="Z432" s="25"/>
    </x:row>
    <x:row r="433">
      <x:c r="A433" s="25"/>
      <x:c r="B433" s="25"/>
      <x:c r="C433" s="25"/>
      <x:c r="D433" s="25"/>
      <x:c r="E433" s="25"/>
      <x:c r="F433" s="25"/>
      <x:c r="G433" s="25"/>
      <x:c r="H433" s="25"/>
      <x:c r="I433" s="25"/>
      <x:c r="J433" s="25"/>
      <x:c r="K433" s="25"/>
      <x:c r="L433" s="25"/>
      <x:c r="M433" s="25"/>
      <x:c r="N433" s="25"/>
      <x:c r="O433" s="25"/>
      <x:c r="P433" s="25"/>
      <x:c r="Q433" s="25"/>
      <x:c r="R433" s="25"/>
      <x:c r="S433" s="25"/>
      <x:c r="T433" s="25"/>
      <x:c r="U433" s="25"/>
      <x:c r="V433" s="25"/>
      <x:c r="W433" s="25"/>
      <x:c r="X433" s="25"/>
      <x:c r="Y433" s="25"/>
      <x:c r="Z433" s="25"/>
    </x:row>
    <x:row r="434">
      <x:c r="A434" s="25"/>
      <x:c r="B434" s="25"/>
      <x:c r="C434" s="25"/>
      <x:c r="D434" s="25"/>
      <x:c r="E434" s="25"/>
      <x:c r="F434" s="25"/>
      <x:c r="G434" s="25"/>
      <x:c r="H434" s="25"/>
      <x:c r="I434" s="25"/>
      <x:c r="J434" s="25"/>
      <x:c r="K434" s="25"/>
      <x:c r="L434" s="25"/>
      <x:c r="M434" s="25"/>
      <x:c r="N434" s="25"/>
      <x:c r="O434" s="25"/>
      <x:c r="P434" s="25"/>
      <x:c r="Q434" s="25"/>
      <x:c r="R434" s="25"/>
      <x:c r="S434" s="25"/>
      <x:c r="T434" s="25"/>
      <x:c r="U434" s="25"/>
      <x:c r="V434" s="25"/>
      <x:c r="W434" s="25"/>
      <x:c r="X434" s="25"/>
      <x:c r="Y434" s="25"/>
      <x:c r="Z434" s="25"/>
    </x:row>
    <x:row r="435">
      <x:c r="A435" s="25"/>
      <x:c r="B435" s="25"/>
      <x:c r="C435" s="25"/>
      <x:c r="D435" s="25"/>
      <x:c r="E435" s="25"/>
      <x:c r="F435" s="25"/>
      <x:c r="G435" s="25"/>
      <x:c r="H435" s="25"/>
      <x:c r="I435" s="25"/>
      <x:c r="J435" s="25"/>
      <x:c r="K435" s="25"/>
      <x:c r="L435" s="25"/>
      <x:c r="M435" s="25"/>
      <x:c r="N435" s="25"/>
      <x:c r="O435" s="25"/>
      <x:c r="P435" s="25"/>
      <x:c r="Q435" s="25"/>
      <x:c r="R435" s="25"/>
      <x:c r="S435" s="25"/>
      <x:c r="T435" s="25"/>
      <x:c r="U435" s="25"/>
      <x:c r="V435" s="25"/>
      <x:c r="W435" s="25"/>
      <x:c r="X435" s="25"/>
      <x:c r="Y435" s="25"/>
      <x:c r="Z435" s="25"/>
    </x:row>
    <x:row r="436">
      <x:c r="A436" s="25"/>
      <x:c r="B436" s="25"/>
      <x:c r="C436" s="25"/>
      <x:c r="D436" s="25"/>
      <x:c r="E436" s="25"/>
      <x:c r="F436" s="25"/>
      <x:c r="G436" s="25"/>
      <x:c r="H436" s="25"/>
      <x:c r="I436" s="25"/>
      <x:c r="J436" s="25"/>
      <x:c r="K436" s="25"/>
      <x:c r="L436" s="25"/>
      <x:c r="M436" s="25"/>
      <x:c r="N436" s="25"/>
      <x:c r="O436" s="25"/>
      <x:c r="P436" s="25"/>
      <x:c r="Q436" s="25"/>
      <x:c r="R436" s="25"/>
      <x:c r="S436" s="25"/>
      <x:c r="T436" s="25"/>
      <x:c r="U436" s="25"/>
      <x:c r="V436" s="25"/>
      <x:c r="W436" s="25"/>
      <x:c r="X436" s="25"/>
      <x:c r="Y436" s="25"/>
      <x:c r="Z436" s="25"/>
    </x:row>
    <x:row r="437">
      <x:c r="A437" s="25"/>
      <x:c r="B437" s="25"/>
      <x:c r="C437" s="25"/>
      <x:c r="D437" s="25"/>
      <x:c r="E437" s="25"/>
      <x:c r="F437" s="25"/>
      <x:c r="G437" s="25"/>
      <x:c r="H437" s="25"/>
      <x:c r="I437" s="25"/>
      <x:c r="J437" s="25"/>
      <x:c r="K437" s="25"/>
      <x:c r="L437" s="25"/>
      <x:c r="M437" s="25"/>
      <x:c r="N437" s="25"/>
      <x:c r="O437" s="25"/>
      <x:c r="P437" s="25"/>
      <x:c r="Q437" s="25"/>
      <x:c r="R437" s="25"/>
      <x:c r="S437" s="25"/>
      <x:c r="T437" s="25"/>
      <x:c r="U437" s="25"/>
      <x:c r="V437" s="25"/>
      <x:c r="W437" s="25"/>
      <x:c r="X437" s="25"/>
      <x:c r="Y437" s="25"/>
      <x:c r="Z437" s="25"/>
    </x:row>
    <x:row r="438">
      <x:c r="A438" s="25"/>
      <x:c r="B438" s="25"/>
      <x:c r="C438" s="25"/>
      <x:c r="D438" s="25"/>
      <x:c r="E438" s="25"/>
      <x:c r="F438" s="25"/>
      <x:c r="G438" s="25"/>
      <x:c r="H438" s="25"/>
      <x:c r="I438" s="25"/>
      <x:c r="J438" s="25"/>
      <x:c r="K438" s="25"/>
      <x:c r="L438" s="25"/>
      <x:c r="M438" s="25"/>
      <x:c r="N438" s="25"/>
      <x:c r="O438" s="25"/>
      <x:c r="P438" s="25"/>
      <x:c r="Q438" s="25"/>
      <x:c r="R438" s="25"/>
      <x:c r="S438" s="25"/>
      <x:c r="T438" s="25"/>
      <x:c r="U438" s="25"/>
      <x:c r="V438" s="25"/>
      <x:c r="W438" s="25"/>
      <x:c r="X438" s="25"/>
      <x:c r="Y438" s="25"/>
      <x:c r="Z438" s="25"/>
    </x:row>
    <x:row r="439">
      <x:c r="A439" s="25"/>
      <x:c r="B439" s="25"/>
      <x:c r="C439" s="25"/>
      <x:c r="D439" s="25"/>
      <x:c r="E439" s="25"/>
      <x:c r="F439" s="25"/>
      <x:c r="G439" s="25"/>
      <x:c r="H439" s="25"/>
      <x:c r="I439" s="25"/>
      <x:c r="J439" s="25"/>
      <x:c r="K439" s="25"/>
      <x:c r="L439" s="25"/>
      <x:c r="M439" s="25"/>
      <x:c r="N439" s="25"/>
      <x:c r="O439" s="25"/>
      <x:c r="P439" s="25"/>
      <x:c r="Q439" s="25"/>
      <x:c r="R439" s="25"/>
      <x:c r="S439" s="25"/>
      <x:c r="T439" s="25"/>
      <x:c r="U439" s="25"/>
      <x:c r="V439" s="25"/>
      <x:c r="W439" s="25"/>
      <x:c r="X439" s="25"/>
      <x:c r="Y439" s="25"/>
      <x:c r="Z439" s="25"/>
    </x:row>
    <x:row r="440">
      <x:c r="A440" s="25"/>
      <x:c r="B440" s="25"/>
      <x:c r="C440" s="25"/>
      <x:c r="D440" s="25"/>
      <x:c r="E440" s="25"/>
      <x:c r="F440" s="25"/>
      <x:c r="G440" s="25"/>
      <x:c r="H440" s="25"/>
      <x:c r="I440" s="25"/>
      <x:c r="J440" s="25"/>
      <x:c r="K440" s="25"/>
      <x:c r="L440" s="25"/>
      <x:c r="M440" s="25"/>
      <x:c r="N440" s="25"/>
      <x:c r="O440" s="25"/>
      <x:c r="P440" s="25"/>
      <x:c r="Q440" s="25"/>
      <x:c r="R440" s="25"/>
      <x:c r="S440" s="25"/>
      <x:c r="T440" s="25"/>
      <x:c r="U440" s="25"/>
      <x:c r="V440" s="25"/>
      <x:c r="W440" s="25"/>
      <x:c r="X440" s="25"/>
      <x:c r="Y440" s="25"/>
      <x:c r="Z440" s="25"/>
    </x:row>
    <x:row r="441">
      <x:c r="A441" s="25"/>
      <x:c r="B441" s="25"/>
      <x:c r="C441" s="25"/>
      <x:c r="D441" s="25"/>
      <x:c r="E441" s="25"/>
      <x:c r="F441" s="25"/>
      <x:c r="G441" s="25"/>
      <x:c r="H441" s="25"/>
      <x:c r="I441" s="25"/>
      <x:c r="J441" s="25"/>
      <x:c r="K441" s="25"/>
      <x:c r="L441" s="25"/>
      <x:c r="M441" s="25"/>
      <x:c r="N441" s="25"/>
      <x:c r="O441" s="25"/>
      <x:c r="P441" s="25"/>
      <x:c r="Q441" s="25"/>
      <x:c r="R441" s="25"/>
      <x:c r="S441" s="25"/>
      <x:c r="T441" s="25"/>
      <x:c r="U441" s="25"/>
      <x:c r="V441" s="25"/>
      <x:c r="W441" s="25"/>
      <x:c r="X441" s="25"/>
      <x:c r="Y441" s="25"/>
      <x:c r="Z441" s="25"/>
    </x:row>
    <x:row r="442">
      <x:c r="A442" s="25"/>
      <x:c r="B442" s="25"/>
      <x:c r="C442" s="25"/>
      <x:c r="D442" s="25"/>
      <x:c r="E442" s="25"/>
      <x:c r="F442" s="25"/>
      <x:c r="G442" s="25"/>
      <x:c r="H442" s="25"/>
      <x:c r="I442" s="25"/>
      <x:c r="J442" s="25"/>
      <x:c r="K442" s="25"/>
      <x:c r="L442" s="25"/>
      <x:c r="M442" s="25"/>
      <x:c r="N442" s="25"/>
      <x:c r="O442" s="25"/>
      <x:c r="P442" s="25"/>
      <x:c r="Q442" s="25"/>
      <x:c r="R442" s="25"/>
      <x:c r="S442" s="25"/>
      <x:c r="T442" s="25"/>
      <x:c r="U442" s="25"/>
      <x:c r="V442" s="25"/>
      <x:c r="W442" s="25"/>
      <x:c r="X442" s="25"/>
      <x:c r="Y442" s="25"/>
      <x:c r="Z442" s="25"/>
    </x:row>
    <x:row r="443">
      <x:c r="A443" s="25"/>
      <x:c r="B443" s="25"/>
      <x:c r="C443" s="25"/>
      <x:c r="D443" s="25"/>
      <x:c r="E443" s="25"/>
      <x:c r="F443" s="25"/>
      <x:c r="G443" s="25"/>
      <x:c r="H443" s="25"/>
      <x:c r="I443" s="25"/>
      <x:c r="J443" s="25"/>
      <x:c r="K443" s="25"/>
      <x:c r="L443" s="25"/>
      <x:c r="M443" s="25"/>
      <x:c r="N443" s="25"/>
      <x:c r="O443" s="25"/>
      <x:c r="P443" s="25"/>
      <x:c r="Q443" s="25"/>
      <x:c r="R443" s="25"/>
      <x:c r="S443" s="25"/>
      <x:c r="T443" s="25"/>
      <x:c r="U443" s="25"/>
      <x:c r="V443" s="25"/>
      <x:c r="W443" s="25"/>
      <x:c r="X443" s="25"/>
      <x:c r="Y443" s="25"/>
      <x:c r="Z443" s="25"/>
    </x:row>
    <x:row r="444">
      <x:c r="A444" s="25"/>
      <x:c r="B444" s="25"/>
      <x:c r="C444" s="25"/>
      <x:c r="D444" s="25"/>
      <x:c r="E444" s="25"/>
      <x:c r="F444" s="25"/>
      <x:c r="G444" s="25"/>
      <x:c r="H444" s="25"/>
      <x:c r="I444" s="25"/>
      <x:c r="J444" s="25"/>
      <x:c r="K444" s="25"/>
      <x:c r="L444" s="25"/>
      <x:c r="M444" s="25"/>
      <x:c r="N444" s="25"/>
      <x:c r="O444" s="25"/>
      <x:c r="P444" s="25"/>
      <x:c r="Q444" s="25"/>
      <x:c r="R444" s="25"/>
      <x:c r="S444" s="25"/>
      <x:c r="T444" s="25"/>
      <x:c r="U444" s="25"/>
      <x:c r="V444" s="25"/>
      <x:c r="W444" s="25"/>
      <x:c r="X444" s="25"/>
      <x:c r="Y444" s="25"/>
      <x:c r="Z444" s="25"/>
    </x:row>
    <x:row r="445">
      <x:c r="A445" s="25"/>
      <x:c r="B445" s="25"/>
      <x:c r="C445" s="25"/>
      <x:c r="D445" s="25"/>
      <x:c r="E445" s="25"/>
      <x:c r="F445" s="25"/>
      <x:c r="G445" s="25"/>
      <x:c r="H445" s="25"/>
      <x:c r="I445" s="25"/>
      <x:c r="J445" s="25"/>
      <x:c r="K445" s="25"/>
      <x:c r="L445" s="25"/>
      <x:c r="M445" s="25"/>
      <x:c r="N445" s="25"/>
      <x:c r="O445" s="25"/>
      <x:c r="P445" s="25"/>
      <x:c r="Q445" s="25"/>
      <x:c r="R445" s="25"/>
      <x:c r="S445" s="25"/>
      <x:c r="T445" s="25"/>
      <x:c r="U445" s="25"/>
      <x:c r="V445" s="25"/>
      <x:c r="W445" s="25"/>
      <x:c r="X445" s="25"/>
      <x:c r="Y445" s="25"/>
      <x:c r="Z445" s="25"/>
    </x:row>
    <x:row r="446">
      <x:c r="A446" s="25"/>
      <x:c r="B446" s="25"/>
      <x:c r="C446" s="25"/>
      <x:c r="D446" s="25"/>
      <x:c r="E446" s="25"/>
      <x:c r="F446" s="25"/>
      <x:c r="G446" s="25"/>
      <x:c r="H446" s="25"/>
      <x:c r="I446" s="25"/>
      <x:c r="J446" s="25"/>
      <x:c r="K446" s="25"/>
      <x:c r="L446" s="25"/>
      <x:c r="M446" s="25"/>
      <x:c r="N446" s="25"/>
      <x:c r="O446" s="25"/>
      <x:c r="P446" s="25"/>
      <x:c r="Q446" s="25"/>
      <x:c r="R446" s="25"/>
      <x:c r="S446" s="25"/>
      <x:c r="T446" s="25"/>
      <x:c r="U446" s="25"/>
      <x:c r="V446" s="25"/>
      <x:c r="W446" s="25"/>
      <x:c r="X446" s="25"/>
      <x:c r="Y446" s="25"/>
      <x:c r="Z446" s="25"/>
    </x:row>
    <x:row r="447">
      <x:c r="A447" s="25"/>
      <x:c r="B447" s="25"/>
      <x:c r="C447" s="25"/>
      <x:c r="D447" s="25"/>
      <x:c r="E447" s="25"/>
      <x:c r="F447" s="25"/>
      <x:c r="G447" s="25"/>
      <x:c r="H447" s="25"/>
      <x:c r="I447" s="25"/>
      <x:c r="J447" s="25"/>
      <x:c r="K447" s="25"/>
      <x:c r="L447" s="25"/>
      <x:c r="M447" s="25"/>
      <x:c r="N447" s="25"/>
      <x:c r="O447" s="25"/>
      <x:c r="P447" s="25"/>
      <x:c r="Q447" s="25"/>
      <x:c r="R447" s="25"/>
      <x:c r="S447" s="25"/>
      <x:c r="T447" s="25"/>
      <x:c r="U447" s="25"/>
      <x:c r="V447" s="25"/>
      <x:c r="W447" s="25"/>
      <x:c r="X447" s="25"/>
      <x:c r="Y447" s="25"/>
      <x:c r="Z447" s="25"/>
    </x:row>
    <x:row r="448">
      <x:c r="A448" s="25"/>
      <x:c r="B448" s="25"/>
      <x:c r="C448" s="25"/>
      <x:c r="D448" s="25"/>
      <x:c r="E448" s="25"/>
      <x:c r="F448" s="25"/>
      <x:c r="G448" s="25"/>
      <x:c r="H448" s="25"/>
      <x:c r="I448" s="25"/>
      <x:c r="J448" s="25"/>
      <x:c r="K448" s="25"/>
      <x:c r="L448" s="25"/>
      <x:c r="M448" s="25"/>
      <x:c r="N448" s="25"/>
      <x:c r="O448" s="25"/>
      <x:c r="P448" s="25"/>
      <x:c r="Q448" s="25"/>
      <x:c r="R448" s="25"/>
      <x:c r="S448" s="25"/>
      <x:c r="T448" s="25"/>
      <x:c r="U448" s="25"/>
      <x:c r="V448" s="25"/>
      <x:c r="W448" s="25"/>
      <x:c r="X448" s="25"/>
      <x:c r="Y448" s="25"/>
      <x:c r="Z448" s="25"/>
    </x:row>
    <x:row r="449">
      <x:c r="A449" s="25"/>
      <x:c r="B449" s="25"/>
      <x:c r="C449" s="25"/>
      <x:c r="D449" s="25"/>
      <x:c r="E449" s="25"/>
      <x:c r="F449" s="25"/>
      <x:c r="G449" s="25"/>
      <x:c r="H449" s="25"/>
      <x:c r="I449" s="25"/>
      <x:c r="J449" s="25"/>
      <x:c r="K449" s="25"/>
      <x:c r="L449" s="25"/>
      <x:c r="M449" s="25"/>
      <x:c r="N449" s="25"/>
      <x:c r="O449" s="25"/>
      <x:c r="P449" s="25"/>
      <x:c r="Q449" s="25"/>
      <x:c r="R449" s="25"/>
      <x:c r="S449" s="25"/>
      <x:c r="T449" s="25"/>
      <x:c r="U449" s="25"/>
      <x:c r="V449" s="25"/>
      <x:c r="W449" s="25"/>
      <x:c r="X449" s="25"/>
      <x:c r="Y449" s="25"/>
      <x:c r="Z449" s="25"/>
    </x:row>
    <x:row r="450">
      <x:c r="A450" s="25"/>
      <x:c r="B450" s="25"/>
      <x:c r="C450" s="25"/>
      <x:c r="D450" s="25"/>
      <x:c r="E450" s="25"/>
      <x:c r="F450" s="25"/>
      <x:c r="G450" s="25"/>
      <x:c r="H450" s="25"/>
      <x:c r="I450" s="25"/>
      <x:c r="J450" s="25"/>
      <x:c r="K450" s="25"/>
      <x:c r="L450" s="25"/>
      <x:c r="M450" s="25"/>
      <x:c r="N450" s="25"/>
      <x:c r="O450" s="25"/>
      <x:c r="P450" s="25"/>
      <x:c r="Q450" s="25"/>
      <x:c r="R450" s="25"/>
      <x:c r="S450" s="25"/>
      <x:c r="T450" s="25"/>
      <x:c r="U450" s="25"/>
      <x:c r="V450" s="25"/>
      <x:c r="W450" s="25"/>
      <x:c r="X450" s="25"/>
      <x:c r="Y450" s="25"/>
      <x:c r="Z450" s="25"/>
    </x:row>
    <x:row r="451">
      <x:c r="A451" s="25"/>
      <x:c r="B451" s="25"/>
      <x:c r="C451" s="25"/>
      <x:c r="D451" s="25"/>
      <x:c r="E451" s="25"/>
      <x:c r="F451" s="25"/>
      <x:c r="G451" s="25"/>
      <x:c r="H451" s="25"/>
      <x:c r="I451" s="25"/>
      <x:c r="J451" s="25"/>
      <x:c r="K451" s="25"/>
      <x:c r="L451" s="25"/>
      <x:c r="M451" s="25"/>
      <x:c r="N451" s="25"/>
      <x:c r="O451" s="25"/>
      <x:c r="P451" s="25"/>
      <x:c r="Q451" s="25"/>
      <x:c r="R451" s="25"/>
      <x:c r="S451" s="25"/>
      <x:c r="T451" s="25"/>
      <x:c r="U451" s="25"/>
      <x:c r="V451" s="25"/>
      <x:c r="W451" s="25"/>
      <x:c r="X451" s="25"/>
      <x:c r="Y451" s="25"/>
      <x:c r="Z451" s="25"/>
    </x:row>
    <x:row r="452">
      <x:c r="A452" s="25"/>
      <x:c r="B452" s="25"/>
      <x:c r="C452" s="25"/>
      <x:c r="D452" s="25"/>
      <x:c r="E452" s="25"/>
      <x:c r="F452" s="25"/>
      <x:c r="G452" s="25"/>
      <x:c r="H452" s="25"/>
      <x:c r="I452" s="25"/>
      <x:c r="J452" s="25"/>
      <x:c r="K452" s="25"/>
      <x:c r="L452" s="25"/>
      <x:c r="M452" s="25"/>
      <x:c r="N452" s="25"/>
      <x:c r="O452" s="25"/>
      <x:c r="P452" s="25"/>
      <x:c r="Q452" s="25"/>
      <x:c r="R452" s="25"/>
      <x:c r="S452" s="25"/>
      <x:c r="T452" s="25"/>
      <x:c r="U452" s="25"/>
      <x:c r="V452" s="25"/>
      <x:c r="W452" s="25"/>
      <x:c r="X452" s="25"/>
      <x:c r="Y452" s="25"/>
      <x:c r="Z452" s="25"/>
    </x:row>
    <x:row r="453">
      <x:c r="A453" s="25"/>
      <x:c r="B453" s="25"/>
      <x:c r="C453" s="25"/>
      <x:c r="D453" s="25"/>
      <x:c r="E453" s="25"/>
      <x:c r="F453" s="25"/>
      <x:c r="G453" s="25"/>
      <x:c r="H453" s="25"/>
      <x:c r="I453" s="25"/>
      <x:c r="J453" s="25"/>
      <x:c r="K453" s="25"/>
      <x:c r="L453" s="25"/>
      <x:c r="M453" s="25"/>
      <x:c r="N453" s="25"/>
      <x:c r="O453" s="25"/>
      <x:c r="P453" s="25"/>
      <x:c r="Q453" s="25"/>
      <x:c r="R453" s="25"/>
      <x:c r="S453" s="25"/>
      <x:c r="T453" s="25"/>
      <x:c r="U453" s="25"/>
      <x:c r="V453" s="25"/>
      <x:c r="W453" s="25"/>
      <x:c r="X453" s="25"/>
      <x:c r="Y453" s="25"/>
      <x:c r="Z453" s="25"/>
    </x:row>
    <x:row r="454">
      <x:c r="A454" s="25"/>
      <x:c r="B454" s="25"/>
      <x:c r="C454" s="25"/>
      <x:c r="D454" s="25"/>
      <x:c r="E454" s="25"/>
      <x:c r="F454" s="25"/>
      <x:c r="G454" s="25"/>
      <x:c r="H454" s="25"/>
      <x:c r="I454" s="25"/>
      <x:c r="J454" s="25"/>
      <x:c r="K454" s="25"/>
      <x:c r="L454" s="25"/>
      <x:c r="M454" s="25"/>
      <x:c r="N454" s="25"/>
      <x:c r="O454" s="25"/>
      <x:c r="P454" s="25"/>
      <x:c r="Q454" s="25"/>
      <x:c r="R454" s="25"/>
      <x:c r="S454" s="25"/>
      <x:c r="T454" s="25"/>
      <x:c r="U454" s="25"/>
      <x:c r="V454" s="25"/>
      <x:c r="W454" s="25"/>
      <x:c r="X454" s="25"/>
      <x:c r="Y454" s="25"/>
      <x:c r="Z454" s="25"/>
    </x:row>
    <x:row r="455">
      <x:c r="A455" s="25"/>
      <x:c r="B455" s="25"/>
      <x:c r="C455" s="25"/>
      <x:c r="D455" s="25"/>
      <x:c r="E455" s="25"/>
      <x:c r="F455" s="25"/>
      <x:c r="G455" s="25"/>
      <x:c r="H455" s="25"/>
      <x:c r="I455" s="25"/>
      <x:c r="J455" s="25"/>
      <x:c r="K455" s="25"/>
      <x:c r="L455" s="25"/>
      <x:c r="M455" s="25"/>
      <x:c r="N455" s="25"/>
      <x:c r="O455" s="25"/>
      <x:c r="P455" s="25"/>
      <x:c r="Q455" s="25"/>
      <x:c r="R455" s="25"/>
      <x:c r="S455" s="25"/>
      <x:c r="T455" s="25"/>
      <x:c r="U455" s="25"/>
      <x:c r="V455" s="25"/>
      <x:c r="W455" s="25"/>
      <x:c r="X455" s="25"/>
      <x:c r="Y455" s="25"/>
      <x:c r="Z455" s="25"/>
    </x:row>
    <x:row r="456">
      <x:c r="A456" s="25"/>
      <x:c r="B456" s="25"/>
      <x:c r="C456" s="25"/>
      <x:c r="D456" s="25"/>
      <x:c r="E456" s="25"/>
      <x:c r="F456" s="25"/>
      <x:c r="G456" s="25"/>
      <x:c r="H456" s="25"/>
      <x:c r="I456" s="25"/>
      <x:c r="J456" s="25"/>
      <x:c r="K456" s="25"/>
      <x:c r="L456" s="25"/>
      <x:c r="M456" s="25"/>
      <x:c r="N456" s="25"/>
      <x:c r="O456" s="25"/>
      <x:c r="P456" s="25"/>
      <x:c r="Q456" s="25"/>
      <x:c r="R456" s="25"/>
      <x:c r="S456" s="25"/>
      <x:c r="T456" s="25"/>
      <x:c r="U456" s="25"/>
      <x:c r="V456" s="25"/>
      <x:c r="W456" s="25"/>
      <x:c r="X456" s="25"/>
      <x:c r="Y456" s="25"/>
      <x:c r="Z456" s="25"/>
    </x:row>
    <x:row r="457">
      <x:c r="A457" s="25"/>
      <x:c r="B457" s="25"/>
      <x:c r="C457" s="25"/>
      <x:c r="D457" s="25"/>
      <x:c r="E457" s="25"/>
      <x:c r="F457" s="25"/>
      <x:c r="G457" s="25"/>
      <x:c r="H457" s="25"/>
      <x:c r="I457" s="25"/>
      <x:c r="J457" s="25"/>
      <x:c r="K457" s="25"/>
      <x:c r="L457" s="25"/>
      <x:c r="M457" s="25"/>
      <x:c r="N457" s="25"/>
      <x:c r="O457" s="25"/>
      <x:c r="P457" s="25"/>
      <x:c r="Q457" s="25"/>
      <x:c r="R457" s="25"/>
      <x:c r="S457" s="25"/>
      <x:c r="T457" s="25"/>
      <x:c r="U457" s="25"/>
      <x:c r="V457" s="25"/>
      <x:c r="W457" s="25"/>
      <x:c r="X457" s="25"/>
      <x:c r="Y457" s="25"/>
      <x:c r="Z457" s="25"/>
    </x:row>
    <x:row r="458">
      <x:c r="A458" s="25"/>
      <x:c r="B458" s="25"/>
      <x:c r="C458" s="25"/>
      <x:c r="D458" s="25"/>
      <x:c r="E458" s="25"/>
      <x:c r="F458" s="25"/>
      <x:c r="G458" s="25"/>
      <x:c r="H458" s="25"/>
      <x:c r="I458" s="25"/>
      <x:c r="J458" s="25"/>
      <x:c r="K458" s="25"/>
      <x:c r="L458" s="25"/>
      <x:c r="M458" s="25"/>
      <x:c r="N458" s="25"/>
      <x:c r="O458" s="25"/>
      <x:c r="P458" s="25"/>
      <x:c r="Q458" s="25"/>
      <x:c r="R458" s="25"/>
      <x:c r="S458" s="25"/>
      <x:c r="T458" s="25"/>
      <x:c r="U458" s="25"/>
      <x:c r="V458" s="25"/>
      <x:c r="W458" s="25"/>
      <x:c r="X458" s="25"/>
      <x:c r="Y458" s="25"/>
      <x:c r="Z458" s="25"/>
    </x:row>
    <x:row r="459">
      <x:c r="A459" s="25"/>
      <x:c r="B459" s="25"/>
      <x:c r="C459" s="25"/>
      <x:c r="D459" s="25"/>
      <x:c r="E459" s="25"/>
      <x:c r="F459" s="25"/>
      <x:c r="G459" s="25"/>
      <x:c r="H459" s="25"/>
      <x:c r="I459" s="25"/>
      <x:c r="J459" s="25"/>
      <x:c r="K459" s="25"/>
      <x:c r="L459" s="25"/>
      <x:c r="M459" s="25"/>
      <x:c r="N459" s="25"/>
      <x:c r="O459" s="25"/>
      <x:c r="P459" s="25"/>
      <x:c r="Q459" s="25"/>
      <x:c r="R459" s="25"/>
      <x:c r="S459" s="25"/>
      <x:c r="T459" s="25"/>
      <x:c r="U459" s="25"/>
      <x:c r="V459" s="25"/>
      <x:c r="W459" s="25"/>
      <x:c r="X459" s="25"/>
      <x:c r="Y459" s="25"/>
      <x:c r="Z459" s="25"/>
    </x:row>
    <x:row r="460">
      <x:c r="A460" s="25"/>
      <x:c r="B460" s="25"/>
      <x:c r="C460" s="25"/>
      <x:c r="D460" s="25"/>
      <x:c r="E460" s="25"/>
      <x:c r="F460" s="25"/>
      <x:c r="G460" s="25"/>
      <x:c r="H460" s="25"/>
      <x:c r="I460" s="25"/>
      <x:c r="J460" s="25"/>
      <x:c r="K460" s="25"/>
      <x:c r="L460" s="25"/>
      <x:c r="M460" s="25"/>
      <x:c r="N460" s="25"/>
      <x:c r="O460" s="25"/>
      <x:c r="P460" s="25"/>
      <x:c r="Q460" s="25"/>
      <x:c r="R460" s="25"/>
      <x:c r="S460" s="25"/>
      <x:c r="T460" s="25"/>
      <x:c r="U460" s="25"/>
      <x:c r="V460" s="25"/>
      <x:c r="W460" s="25"/>
      <x:c r="X460" s="25"/>
      <x:c r="Y460" s="25"/>
      <x:c r="Z460" s="25"/>
    </x:row>
    <x:row r="461">
      <x:c r="A461" s="25"/>
      <x:c r="B461" s="25"/>
      <x:c r="C461" s="25"/>
      <x:c r="D461" s="25"/>
      <x:c r="E461" s="25"/>
      <x:c r="F461" s="25"/>
      <x:c r="G461" s="25"/>
      <x:c r="H461" s="25"/>
      <x:c r="I461" s="25"/>
      <x:c r="J461" s="25"/>
      <x:c r="K461" s="25"/>
      <x:c r="L461" s="25"/>
      <x:c r="M461" s="25"/>
      <x:c r="N461" s="25"/>
      <x:c r="O461" s="25"/>
      <x:c r="P461" s="25"/>
      <x:c r="Q461" s="25"/>
      <x:c r="R461" s="25"/>
      <x:c r="S461" s="25"/>
      <x:c r="T461" s="25"/>
      <x:c r="U461" s="25"/>
      <x:c r="V461" s="25"/>
      <x:c r="W461" s="25"/>
      <x:c r="X461" s="25"/>
      <x:c r="Y461" s="25"/>
      <x:c r="Z461" s="25"/>
    </x:row>
    <x:row r="462">
      <x:c r="A462" s="25"/>
      <x:c r="B462" s="25"/>
      <x:c r="C462" s="25"/>
      <x:c r="D462" s="25"/>
      <x:c r="E462" s="25"/>
      <x:c r="F462" s="25"/>
      <x:c r="G462" s="25"/>
      <x:c r="H462" s="25"/>
      <x:c r="I462" s="25"/>
      <x:c r="J462" s="25"/>
      <x:c r="K462" s="25"/>
      <x:c r="L462" s="25"/>
      <x:c r="M462" s="25"/>
      <x:c r="N462" s="25"/>
      <x:c r="O462" s="25"/>
      <x:c r="P462" s="25"/>
      <x:c r="Q462" s="25"/>
      <x:c r="R462" s="25"/>
      <x:c r="S462" s="25"/>
      <x:c r="T462" s="25"/>
      <x:c r="U462" s="25"/>
      <x:c r="V462" s="25"/>
      <x:c r="W462" s="25"/>
      <x:c r="X462" s="25"/>
      <x:c r="Y462" s="25"/>
      <x:c r="Z462" s="25"/>
    </x:row>
    <x:row r="463">
      <x:c r="A463" s="25"/>
      <x:c r="B463" s="25"/>
      <x:c r="C463" s="25"/>
      <x:c r="D463" s="25"/>
      <x:c r="E463" s="25"/>
      <x:c r="F463" s="25"/>
      <x:c r="G463" s="25"/>
      <x:c r="H463" s="25"/>
      <x:c r="I463" s="25"/>
      <x:c r="J463" s="25"/>
      <x:c r="K463" s="25"/>
      <x:c r="L463" s="25"/>
      <x:c r="M463" s="25"/>
      <x:c r="N463" s="25"/>
      <x:c r="O463" s="25"/>
      <x:c r="P463" s="25"/>
      <x:c r="Q463" s="25"/>
      <x:c r="R463" s="25"/>
      <x:c r="S463" s="25"/>
      <x:c r="T463" s="25"/>
      <x:c r="U463" s="25"/>
      <x:c r="V463" s="25"/>
      <x:c r="W463" s="25"/>
      <x:c r="X463" s="25"/>
      <x:c r="Y463" s="25"/>
      <x:c r="Z463" s="25"/>
    </x:row>
    <x:row r="464">
      <x:c r="A464" s="25"/>
      <x:c r="B464" s="25"/>
      <x:c r="C464" s="25"/>
      <x:c r="D464" s="25"/>
      <x:c r="E464" s="25"/>
      <x:c r="F464" s="25"/>
      <x:c r="G464" s="25"/>
      <x:c r="H464" s="25"/>
      <x:c r="I464" s="25"/>
      <x:c r="J464" s="25"/>
      <x:c r="K464" s="25"/>
      <x:c r="L464" s="25"/>
      <x:c r="M464" s="25"/>
      <x:c r="N464" s="25"/>
      <x:c r="O464" s="25"/>
      <x:c r="P464" s="25"/>
      <x:c r="Q464" s="25"/>
      <x:c r="R464" s="25"/>
      <x:c r="S464" s="25"/>
      <x:c r="T464" s="25"/>
      <x:c r="U464" s="25"/>
      <x:c r="V464" s="25"/>
      <x:c r="W464" s="25"/>
      <x:c r="X464" s="25"/>
      <x:c r="Y464" s="25"/>
      <x:c r="Z464" s="25"/>
    </x:row>
    <x:row r="465">
      <x:c r="A465" s="25"/>
      <x:c r="B465" s="25"/>
      <x:c r="C465" s="25"/>
      <x:c r="D465" s="25"/>
      <x:c r="E465" s="25"/>
      <x:c r="F465" s="25"/>
      <x:c r="G465" s="25"/>
      <x:c r="H465" s="25"/>
      <x:c r="I465" s="25"/>
      <x:c r="J465" s="25"/>
      <x:c r="K465" s="25"/>
      <x:c r="L465" s="25"/>
      <x:c r="M465" s="25"/>
      <x:c r="N465" s="25"/>
      <x:c r="O465" s="25"/>
      <x:c r="P465" s="25"/>
      <x:c r="Q465" s="25"/>
      <x:c r="R465" s="25"/>
      <x:c r="S465" s="25"/>
      <x:c r="T465" s="25"/>
      <x:c r="U465" s="25"/>
      <x:c r="V465" s="25"/>
      <x:c r="W465" s="25"/>
      <x:c r="X465" s="25"/>
      <x:c r="Y465" s="25"/>
      <x:c r="Z465" s="25"/>
    </x:row>
    <x:row r="466">
      <x:c r="A466" s="25"/>
      <x:c r="B466" s="25"/>
      <x:c r="C466" s="25"/>
      <x:c r="D466" s="25"/>
      <x:c r="E466" s="25"/>
      <x:c r="F466" s="25"/>
      <x:c r="G466" s="25"/>
      <x:c r="H466" s="25"/>
      <x:c r="I466" s="25"/>
      <x:c r="J466" s="25"/>
      <x:c r="K466" s="25"/>
      <x:c r="L466" s="25"/>
      <x:c r="M466" s="25"/>
      <x:c r="N466" s="25"/>
      <x:c r="O466" s="25"/>
      <x:c r="P466" s="25"/>
      <x:c r="Q466" s="25"/>
      <x:c r="R466" s="25"/>
      <x:c r="S466" s="25"/>
      <x:c r="T466" s="25"/>
      <x:c r="U466" s="25"/>
      <x:c r="V466" s="25"/>
      <x:c r="W466" s="25"/>
      <x:c r="X466" s="25"/>
      <x:c r="Y466" s="25"/>
      <x:c r="Z466" s="25"/>
    </x:row>
    <x:row r="467">
      <x:c r="A467" s="25"/>
      <x:c r="B467" s="25"/>
      <x:c r="C467" s="25"/>
      <x:c r="D467" s="25"/>
      <x:c r="E467" s="25"/>
      <x:c r="F467" s="25"/>
      <x:c r="G467" s="25"/>
      <x:c r="H467" s="25"/>
      <x:c r="I467" s="25"/>
      <x:c r="J467" s="25"/>
      <x:c r="K467" s="25"/>
      <x:c r="L467" s="25"/>
      <x:c r="M467" s="25"/>
      <x:c r="N467" s="25"/>
      <x:c r="O467" s="25"/>
      <x:c r="P467" s="25"/>
      <x:c r="Q467" s="25"/>
      <x:c r="R467" s="25"/>
      <x:c r="S467" s="25"/>
      <x:c r="T467" s="25"/>
      <x:c r="U467" s="25"/>
      <x:c r="V467" s="25"/>
      <x:c r="W467" s="25"/>
      <x:c r="X467" s="25"/>
      <x:c r="Y467" s="25"/>
      <x:c r="Z467" s="25"/>
    </x:row>
    <x:row r="468">
      <x:c r="A468" s="25"/>
      <x:c r="B468" s="25"/>
      <x:c r="C468" s="25"/>
      <x:c r="D468" s="25"/>
      <x:c r="E468" s="25"/>
      <x:c r="F468" s="25"/>
      <x:c r="G468" s="25"/>
      <x:c r="H468" s="25"/>
      <x:c r="I468" s="25"/>
      <x:c r="J468" s="25"/>
      <x:c r="K468" s="25"/>
      <x:c r="L468" s="25"/>
      <x:c r="M468" s="25"/>
      <x:c r="N468" s="25"/>
      <x:c r="O468" s="25"/>
      <x:c r="P468" s="25"/>
      <x:c r="Q468" s="25"/>
      <x:c r="R468" s="25"/>
      <x:c r="S468" s="25"/>
      <x:c r="T468" s="25"/>
      <x:c r="U468" s="25"/>
      <x:c r="V468" s="25"/>
      <x:c r="W468" s="25"/>
      <x:c r="X468" s="25"/>
      <x:c r="Y468" s="25"/>
      <x:c r="Z468" s="25"/>
    </x:row>
    <x:row r="469">
      <x:c r="A469" s="25"/>
      <x:c r="B469" s="25"/>
      <x:c r="C469" s="25"/>
      <x:c r="D469" s="25"/>
      <x:c r="E469" s="25"/>
      <x:c r="F469" s="25"/>
      <x:c r="G469" s="25"/>
      <x:c r="H469" s="25"/>
      <x:c r="I469" s="25"/>
      <x:c r="J469" s="25"/>
      <x:c r="K469" s="25"/>
      <x:c r="L469" s="25"/>
      <x:c r="M469" s="25"/>
      <x:c r="N469" s="25"/>
      <x:c r="O469" s="25"/>
      <x:c r="P469" s="25"/>
      <x:c r="Q469" s="25"/>
      <x:c r="R469" s="25"/>
      <x:c r="S469" s="25"/>
      <x:c r="T469" s="25"/>
      <x:c r="U469" s="25"/>
      <x:c r="V469" s="25"/>
      <x:c r="W469" s="25"/>
      <x:c r="X469" s="25"/>
      <x:c r="Y469" s="25"/>
      <x:c r="Z469" s="25"/>
    </x:row>
    <x:row r="470">
      <x:c r="A470" s="25"/>
      <x:c r="B470" s="25"/>
      <x:c r="C470" s="25"/>
      <x:c r="D470" s="25"/>
      <x:c r="E470" s="25"/>
      <x:c r="F470" s="25"/>
      <x:c r="G470" s="25"/>
      <x:c r="H470" s="25"/>
      <x:c r="I470" s="25"/>
      <x:c r="J470" s="25"/>
      <x:c r="K470" s="25"/>
      <x:c r="L470" s="25"/>
      <x:c r="M470" s="25"/>
      <x:c r="N470" s="25"/>
      <x:c r="O470" s="25"/>
      <x:c r="P470" s="25"/>
      <x:c r="Q470" s="25"/>
      <x:c r="R470" s="25"/>
      <x:c r="S470" s="25"/>
      <x:c r="T470" s="25"/>
      <x:c r="U470" s="25"/>
      <x:c r="V470" s="25"/>
      <x:c r="W470" s="25"/>
      <x:c r="X470" s="25"/>
      <x:c r="Y470" s="25"/>
      <x:c r="Z470" s="25"/>
    </x:row>
    <x:row r="471">
      <x:c r="A471" s="25"/>
      <x:c r="B471" s="25"/>
      <x:c r="C471" s="25"/>
      <x:c r="D471" s="25"/>
      <x:c r="E471" s="25"/>
      <x:c r="F471" s="25"/>
      <x:c r="G471" s="25"/>
      <x:c r="H471" s="25"/>
      <x:c r="I471" s="25"/>
      <x:c r="J471" s="25"/>
      <x:c r="K471" s="25"/>
      <x:c r="L471" s="25"/>
      <x:c r="M471" s="25"/>
      <x:c r="N471" s="25"/>
      <x:c r="O471" s="25"/>
      <x:c r="P471" s="25"/>
      <x:c r="Q471" s="25"/>
      <x:c r="R471" s="25"/>
      <x:c r="S471" s="25"/>
      <x:c r="T471" s="25"/>
      <x:c r="U471" s="25"/>
      <x:c r="V471" s="25"/>
      <x:c r="W471" s="25"/>
      <x:c r="X471" s="25"/>
      <x:c r="Y471" s="25"/>
      <x:c r="Z471" s="25"/>
    </x:row>
    <x:row r="472">
      <x:c r="A472" s="25"/>
      <x:c r="B472" s="25"/>
      <x:c r="C472" s="25"/>
      <x:c r="D472" s="25"/>
      <x:c r="E472" s="25"/>
      <x:c r="F472" s="25"/>
      <x:c r="G472" s="25"/>
      <x:c r="H472" s="25"/>
      <x:c r="I472" s="25"/>
      <x:c r="J472" s="25"/>
      <x:c r="K472" s="25"/>
      <x:c r="L472" s="25"/>
      <x:c r="M472" s="25"/>
      <x:c r="N472" s="25"/>
      <x:c r="O472" s="25"/>
      <x:c r="P472" s="25"/>
      <x:c r="Q472" s="25"/>
      <x:c r="R472" s="25"/>
      <x:c r="S472" s="25"/>
      <x:c r="T472" s="25"/>
      <x:c r="U472" s="25"/>
      <x:c r="V472" s="25"/>
      <x:c r="W472" s="25"/>
      <x:c r="X472" s="25"/>
      <x:c r="Y472" s="25"/>
      <x:c r="Z472" s="25"/>
    </x:row>
    <x:row r="473">
      <x:c r="A473" s="25"/>
      <x:c r="B473" s="25"/>
      <x:c r="C473" s="25"/>
      <x:c r="D473" s="25"/>
      <x:c r="E473" s="25"/>
      <x:c r="F473" s="25"/>
      <x:c r="G473" s="25"/>
      <x:c r="H473" s="25"/>
      <x:c r="I473" s="25"/>
      <x:c r="J473" s="25"/>
      <x:c r="K473" s="25"/>
      <x:c r="L473" s="25"/>
      <x:c r="M473" s="25"/>
      <x:c r="N473" s="25"/>
      <x:c r="O473" s="25"/>
      <x:c r="P473" s="25"/>
      <x:c r="Q473" s="25"/>
      <x:c r="R473" s="25"/>
      <x:c r="S473" s="25"/>
      <x:c r="T473" s="25"/>
      <x:c r="U473" s="25"/>
      <x:c r="V473" s="25"/>
      <x:c r="W473" s="25"/>
      <x:c r="X473" s="25"/>
      <x:c r="Y473" s="25"/>
      <x:c r="Z473" s="25"/>
    </x:row>
    <x:row r="474">
      <x:c r="A474" s="25"/>
      <x:c r="B474" s="25"/>
      <x:c r="C474" s="25"/>
      <x:c r="D474" s="25"/>
      <x:c r="E474" s="25"/>
      <x:c r="F474" s="25"/>
      <x:c r="G474" s="25"/>
      <x:c r="H474" s="25"/>
      <x:c r="I474" s="25"/>
      <x:c r="J474" s="25"/>
      <x:c r="K474" s="25"/>
      <x:c r="L474" s="25"/>
      <x:c r="M474" s="25"/>
      <x:c r="N474" s="25"/>
      <x:c r="O474" s="25"/>
      <x:c r="P474" s="25"/>
      <x:c r="Q474" s="25"/>
      <x:c r="R474" s="25"/>
      <x:c r="S474" s="25"/>
      <x:c r="T474" s="25"/>
      <x:c r="U474" s="25"/>
      <x:c r="V474" s="25"/>
      <x:c r="W474" s="25"/>
      <x:c r="X474" s="25"/>
      <x:c r="Y474" s="25"/>
      <x:c r="Z474" s="25"/>
    </x:row>
    <x:row r="475">
      <x:c r="A475" s="25"/>
      <x:c r="B475" s="25"/>
      <x:c r="C475" s="25"/>
      <x:c r="D475" s="25"/>
      <x:c r="E475" s="25"/>
      <x:c r="F475" s="25"/>
      <x:c r="G475" s="25"/>
      <x:c r="H475" s="25"/>
      <x:c r="I475" s="25"/>
      <x:c r="J475" s="25"/>
      <x:c r="K475" s="25"/>
      <x:c r="L475" s="25"/>
      <x:c r="M475" s="25"/>
      <x:c r="N475" s="25"/>
      <x:c r="O475" s="25"/>
      <x:c r="P475" s="25"/>
      <x:c r="Q475" s="25"/>
      <x:c r="R475" s="25"/>
      <x:c r="S475" s="25"/>
      <x:c r="T475" s="25"/>
      <x:c r="U475" s="25"/>
      <x:c r="V475" s="25"/>
      <x:c r="W475" s="25"/>
      <x:c r="X475" s="25"/>
      <x:c r="Y475" s="25"/>
      <x:c r="Z475" s="25"/>
    </x:row>
    <x:row r="476">
      <x:c r="A476" s="25"/>
      <x:c r="B476" s="25"/>
      <x:c r="C476" s="25"/>
      <x:c r="D476" s="25"/>
      <x:c r="E476" s="25"/>
      <x:c r="F476" s="25"/>
      <x:c r="G476" s="25"/>
      <x:c r="H476" s="25"/>
      <x:c r="I476" s="25"/>
      <x:c r="J476" s="25"/>
      <x:c r="K476" s="25"/>
      <x:c r="L476" s="25"/>
      <x:c r="M476" s="25"/>
      <x:c r="N476" s="25"/>
      <x:c r="O476" s="25"/>
      <x:c r="P476" s="25"/>
      <x:c r="Q476" s="25"/>
      <x:c r="R476" s="25"/>
      <x:c r="S476" s="25"/>
      <x:c r="T476" s="25"/>
      <x:c r="U476" s="25"/>
      <x:c r="V476" s="25"/>
      <x:c r="W476" s="25"/>
      <x:c r="X476" s="25"/>
      <x:c r="Y476" s="25"/>
      <x:c r="Z476" s="25"/>
    </x:row>
    <x:row r="477">
      <x:c r="A477" s="25"/>
      <x:c r="B477" s="25"/>
      <x:c r="C477" s="25"/>
      <x:c r="D477" s="25"/>
      <x:c r="E477" s="25"/>
      <x:c r="F477" s="25"/>
      <x:c r="G477" s="25"/>
      <x:c r="H477" s="25"/>
      <x:c r="I477" s="25"/>
      <x:c r="J477" s="25"/>
      <x:c r="K477" s="25"/>
      <x:c r="L477" s="25"/>
      <x:c r="M477" s="25"/>
      <x:c r="N477" s="25"/>
      <x:c r="O477" s="25"/>
      <x:c r="P477" s="25"/>
      <x:c r="Q477" s="25"/>
      <x:c r="R477" s="25"/>
      <x:c r="S477" s="25"/>
      <x:c r="T477" s="25"/>
      <x:c r="U477" s="25"/>
      <x:c r="V477" s="25"/>
      <x:c r="W477" s="25"/>
      <x:c r="X477" s="25"/>
      <x:c r="Y477" s="25"/>
      <x:c r="Z477" s="25"/>
    </x:row>
    <x:row r="478">
      <x:c r="A478" s="25"/>
      <x:c r="B478" s="25"/>
      <x:c r="C478" s="25"/>
      <x:c r="D478" s="25"/>
      <x:c r="E478" s="25"/>
      <x:c r="F478" s="25"/>
      <x:c r="G478" s="25"/>
      <x:c r="H478" s="25"/>
      <x:c r="I478" s="25"/>
      <x:c r="J478" s="25"/>
      <x:c r="K478" s="25"/>
      <x:c r="L478" s="25"/>
      <x:c r="M478" s="25"/>
      <x:c r="N478" s="25"/>
      <x:c r="O478" s="25"/>
      <x:c r="P478" s="25"/>
      <x:c r="Q478" s="25"/>
      <x:c r="R478" s="25"/>
      <x:c r="S478" s="25"/>
      <x:c r="T478" s="25"/>
      <x:c r="U478" s="25"/>
      <x:c r="V478" s="25"/>
      <x:c r="W478" s="25"/>
      <x:c r="X478" s="25"/>
      <x:c r="Y478" s="25"/>
      <x:c r="Z478" s="25"/>
    </x:row>
    <x:row r="479">
      <x:c r="A479" s="25"/>
      <x:c r="B479" s="25"/>
      <x:c r="C479" s="25"/>
      <x:c r="D479" s="25"/>
      <x:c r="E479" s="25"/>
      <x:c r="F479" s="25"/>
      <x:c r="G479" s="25"/>
      <x:c r="H479" s="25"/>
      <x:c r="I479" s="25"/>
      <x:c r="J479" s="25"/>
      <x:c r="K479" s="25"/>
      <x:c r="L479" s="25"/>
      <x:c r="M479" s="25"/>
      <x:c r="N479" s="25"/>
      <x:c r="O479" s="25"/>
      <x:c r="P479" s="25"/>
      <x:c r="Q479" s="25"/>
      <x:c r="R479" s="25"/>
      <x:c r="S479" s="25"/>
      <x:c r="T479" s="25"/>
      <x:c r="U479" s="25"/>
      <x:c r="V479" s="25"/>
      <x:c r="W479" s="25"/>
      <x:c r="X479" s="25"/>
      <x:c r="Y479" s="25"/>
      <x:c r="Z479" s="25"/>
    </x:row>
    <x:row r="480">
      <x:c r="A480" s="25"/>
      <x:c r="B480" s="25"/>
      <x:c r="C480" s="25"/>
      <x:c r="D480" s="25"/>
      <x:c r="E480" s="25"/>
      <x:c r="F480" s="25"/>
      <x:c r="G480" s="25"/>
      <x:c r="H480" s="25"/>
      <x:c r="I480" s="25"/>
      <x:c r="J480" s="25"/>
      <x:c r="K480" s="25"/>
      <x:c r="L480" s="25"/>
      <x:c r="M480" s="25"/>
      <x:c r="N480" s="25"/>
      <x:c r="O480" s="25"/>
      <x:c r="P480" s="25"/>
      <x:c r="Q480" s="25"/>
      <x:c r="R480" s="25"/>
      <x:c r="S480" s="25"/>
      <x:c r="T480" s="25"/>
      <x:c r="U480" s="25"/>
      <x:c r="V480" s="25"/>
      <x:c r="W480" s="25"/>
      <x:c r="X480" s="25"/>
      <x:c r="Y480" s="25"/>
      <x:c r="Z480" s="25"/>
    </x:row>
    <x:row r="481">
      <x:c r="A481" s="25"/>
      <x:c r="B481" s="25"/>
      <x:c r="C481" s="25"/>
      <x:c r="D481" s="25"/>
      <x:c r="E481" s="25"/>
      <x:c r="F481" s="25"/>
      <x:c r="G481" s="25"/>
      <x:c r="H481" s="25"/>
      <x:c r="I481" s="25"/>
      <x:c r="J481" s="25"/>
      <x:c r="K481" s="25"/>
      <x:c r="L481" s="25"/>
      <x:c r="M481" s="25"/>
      <x:c r="N481" s="25"/>
      <x:c r="O481" s="25"/>
      <x:c r="P481" s="25"/>
      <x:c r="Q481" s="25"/>
      <x:c r="R481" s="25"/>
      <x:c r="S481" s="25"/>
      <x:c r="T481" s="25"/>
      <x:c r="U481" s="25"/>
      <x:c r="V481" s="25"/>
      <x:c r="W481" s="25"/>
      <x:c r="X481" s="25"/>
      <x:c r="Y481" s="25"/>
      <x:c r="Z481" s="25"/>
    </x:row>
    <x:row r="482">
      <x:c r="A482" s="25"/>
      <x:c r="B482" s="25"/>
      <x:c r="C482" s="25"/>
      <x:c r="D482" s="25"/>
      <x:c r="E482" s="25"/>
      <x:c r="F482" s="25"/>
      <x:c r="G482" s="25"/>
      <x:c r="H482" s="25"/>
      <x:c r="I482" s="25"/>
      <x:c r="J482" s="25"/>
      <x:c r="K482" s="25"/>
      <x:c r="L482" s="25"/>
      <x:c r="M482" s="25"/>
      <x:c r="N482" s="25"/>
      <x:c r="O482" s="25"/>
      <x:c r="P482" s="25"/>
      <x:c r="Q482" s="25"/>
      <x:c r="R482" s="25"/>
      <x:c r="S482" s="25"/>
      <x:c r="T482" s="25"/>
      <x:c r="U482" s="25"/>
      <x:c r="V482" s="25"/>
      <x:c r="W482" s="25"/>
      <x:c r="X482" s="25"/>
      <x:c r="Y482" s="25"/>
      <x:c r="Z482" s="25"/>
    </x:row>
    <x:row r="483">
      <x:c r="A483" s="25"/>
      <x:c r="B483" s="25"/>
      <x:c r="C483" s="25"/>
      <x:c r="D483" s="25"/>
      <x:c r="E483" s="25"/>
      <x:c r="F483" s="25"/>
      <x:c r="G483" s="25"/>
      <x:c r="H483" s="25"/>
      <x:c r="I483" s="25"/>
      <x:c r="J483" s="25"/>
      <x:c r="K483" s="25"/>
      <x:c r="L483" s="25"/>
      <x:c r="M483" s="25"/>
      <x:c r="N483" s="25"/>
      <x:c r="O483" s="25"/>
      <x:c r="P483" s="25"/>
      <x:c r="Q483" s="25"/>
      <x:c r="R483" s="25"/>
      <x:c r="S483" s="25"/>
      <x:c r="T483" s="25"/>
      <x:c r="U483" s="25"/>
      <x:c r="V483" s="25"/>
      <x:c r="W483" s="25"/>
      <x:c r="X483" s="25"/>
      <x:c r="Y483" s="25"/>
      <x:c r="Z483" s="25"/>
    </x:row>
    <x:row r="484">
      <x:c r="A484" s="25"/>
      <x:c r="B484" s="25"/>
      <x:c r="C484" s="25"/>
      <x:c r="D484" s="25"/>
      <x:c r="E484" s="25"/>
      <x:c r="F484" s="25"/>
      <x:c r="G484" s="25"/>
      <x:c r="H484" s="25"/>
      <x:c r="I484" s="25"/>
      <x:c r="J484" s="25"/>
      <x:c r="K484" s="25"/>
      <x:c r="L484" s="25"/>
      <x:c r="M484" s="25"/>
      <x:c r="N484" s="25"/>
      <x:c r="O484" s="25"/>
      <x:c r="P484" s="25"/>
      <x:c r="Q484" s="25"/>
      <x:c r="R484" s="25"/>
      <x:c r="S484" s="25"/>
      <x:c r="T484" s="25"/>
      <x:c r="U484" s="25"/>
      <x:c r="V484" s="25"/>
      <x:c r="W484" s="25"/>
      <x:c r="X484" s="25"/>
      <x:c r="Y484" s="25"/>
      <x:c r="Z484" s="25"/>
    </x:row>
    <x:row r="485">
      <x:c r="A485" s="25"/>
      <x:c r="B485" s="25"/>
      <x:c r="C485" s="25"/>
      <x:c r="D485" s="25"/>
      <x:c r="E485" s="25"/>
      <x:c r="F485" s="25"/>
      <x:c r="G485" s="25"/>
      <x:c r="H485" s="25"/>
      <x:c r="I485" s="25"/>
      <x:c r="J485" s="25"/>
      <x:c r="K485" s="25"/>
      <x:c r="L485" s="25"/>
      <x:c r="M485" s="25"/>
      <x:c r="N485" s="25"/>
      <x:c r="O485" s="25"/>
      <x:c r="P485" s="25"/>
      <x:c r="Q485" s="25"/>
      <x:c r="R485" s="25"/>
      <x:c r="S485" s="25"/>
      <x:c r="T485" s="25"/>
      <x:c r="U485" s="25"/>
      <x:c r="V485" s="25"/>
      <x:c r="W485" s="25"/>
      <x:c r="X485" s="25"/>
      <x:c r="Y485" s="25"/>
      <x:c r="Z485" s="25"/>
    </x:row>
    <x:row r="486">
      <x:c r="A486" s="25"/>
      <x:c r="B486" s="25"/>
      <x:c r="C486" s="25"/>
      <x:c r="D486" s="25"/>
      <x:c r="E486" s="25"/>
      <x:c r="F486" s="25"/>
      <x:c r="G486" s="25"/>
      <x:c r="H486" s="25"/>
      <x:c r="I486" s="25"/>
      <x:c r="J486" s="25"/>
      <x:c r="K486" s="25"/>
      <x:c r="L486" s="25"/>
      <x:c r="M486" s="25"/>
      <x:c r="N486" s="25"/>
      <x:c r="O486" s="25"/>
      <x:c r="P486" s="25"/>
      <x:c r="Q486" s="25"/>
      <x:c r="R486" s="25"/>
      <x:c r="S486" s="25"/>
      <x:c r="T486" s="25"/>
      <x:c r="U486" s="25"/>
      <x:c r="V486" s="25"/>
      <x:c r="W486" s="25"/>
      <x:c r="X486" s="25"/>
      <x:c r="Y486" s="25"/>
      <x:c r="Z486" s="25"/>
    </x:row>
    <x:row r="487">
      <x:c r="A487" s="25"/>
      <x:c r="B487" s="25"/>
      <x:c r="C487" s="25"/>
      <x:c r="D487" s="25"/>
      <x:c r="E487" s="25"/>
      <x:c r="F487" s="25"/>
      <x:c r="G487" s="25"/>
      <x:c r="H487" s="25"/>
      <x:c r="I487" s="25"/>
      <x:c r="J487" s="25"/>
      <x:c r="K487" s="25"/>
      <x:c r="L487" s="25"/>
      <x:c r="M487" s="25"/>
      <x:c r="N487" s="25"/>
      <x:c r="O487" s="25"/>
      <x:c r="P487" s="25"/>
      <x:c r="Q487" s="25"/>
      <x:c r="R487" s="25"/>
      <x:c r="S487" s="25"/>
      <x:c r="T487" s="25"/>
      <x:c r="U487" s="25"/>
      <x:c r="V487" s="25"/>
      <x:c r="W487" s="25"/>
      <x:c r="X487" s="25"/>
      <x:c r="Y487" s="25"/>
      <x:c r="Z487" s="25"/>
    </x:row>
    <x:row r="488">
      <x:c r="A488" s="25"/>
      <x:c r="B488" s="25"/>
      <x:c r="C488" s="25"/>
      <x:c r="D488" s="25"/>
      <x:c r="E488" s="25"/>
      <x:c r="F488" s="25"/>
      <x:c r="G488" s="25"/>
      <x:c r="H488" s="25"/>
      <x:c r="I488" s="25"/>
      <x:c r="J488" s="25"/>
      <x:c r="K488" s="25"/>
      <x:c r="L488" s="25"/>
      <x:c r="M488" s="25"/>
      <x:c r="N488" s="25"/>
      <x:c r="O488" s="25"/>
      <x:c r="P488" s="25"/>
      <x:c r="Q488" s="25"/>
      <x:c r="R488" s="25"/>
      <x:c r="S488" s="25"/>
      <x:c r="T488" s="25"/>
      <x:c r="U488" s="25"/>
      <x:c r="V488" s="25"/>
      <x:c r="W488" s="25"/>
      <x:c r="X488" s="25"/>
      <x:c r="Y488" s="25"/>
      <x:c r="Z488" s="25"/>
    </x:row>
    <x:row r="489">
      <x:c r="A489" s="25"/>
      <x:c r="B489" s="25"/>
      <x:c r="C489" s="25"/>
      <x:c r="D489" s="25"/>
      <x:c r="E489" s="25"/>
      <x:c r="F489" s="25"/>
      <x:c r="G489" s="25"/>
      <x:c r="H489" s="25"/>
      <x:c r="I489" s="25"/>
      <x:c r="J489" s="25"/>
      <x:c r="K489" s="25"/>
      <x:c r="L489" s="25"/>
      <x:c r="M489" s="25"/>
      <x:c r="N489" s="25"/>
      <x:c r="O489" s="25"/>
      <x:c r="P489" s="25"/>
      <x:c r="Q489" s="25"/>
      <x:c r="R489" s="25"/>
      <x:c r="S489" s="25"/>
      <x:c r="T489" s="25"/>
      <x:c r="U489" s="25"/>
      <x:c r="V489" s="25"/>
      <x:c r="W489" s="25"/>
      <x:c r="X489" s="25"/>
      <x:c r="Y489" s="25"/>
      <x:c r="Z489" s="25"/>
    </x:row>
    <x:row r="490">
      <x:c r="A490" s="25"/>
      <x:c r="B490" s="25"/>
      <x:c r="C490" s="25"/>
      <x:c r="D490" s="25"/>
      <x:c r="E490" s="25"/>
      <x:c r="F490" s="25"/>
      <x:c r="G490" s="25"/>
      <x:c r="H490" s="25"/>
      <x:c r="I490" s="25"/>
      <x:c r="J490" s="25"/>
      <x:c r="K490" s="25"/>
      <x:c r="L490" s="25"/>
      <x:c r="M490" s="25"/>
      <x:c r="N490" s="25"/>
      <x:c r="O490" s="25"/>
      <x:c r="P490" s="25"/>
      <x:c r="Q490" s="25"/>
      <x:c r="R490" s="25"/>
      <x:c r="S490" s="25"/>
      <x:c r="T490" s="25"/>
      <x:c r="U490" s="25"/>
      <x:c r="V490" s="25"/>
      <x:c r="W490" s="25"/>
      <x:c r="X490" s="25"/>
      <x:c r="Y490" s="25"/>
      <x:c r="Z490" s="25"/>
    </x:row>
    <x:row r="491">
      <x:c r="A491" s="25"/>
      <x:c r="B491" s="25"/>
      <x:c r="C491" s="25"/>
      <x:c r="D491" s="25"/>
      <x:c r="E491" s="25"/>
      <x:c r="F491" s="25"/>
      <x:c r="G491" s="25"/>
      <x:c r="H491" s="25"/>
      <x:c r="I491" s="25"/>
      <x:c r="J491" s="25"/>
      <x:c r="K491" s="25"/>
      <x:c r="L491" s="25"/>
      <x:c r="M491" s="25"/>
      <x:c r="N491" s="25"/>
      <x:c r="O491" s="25"/>
      <x:c r="P491" s="25"/>
      <x:c r="Q491" s="25"/>
      <x:c r="R491" s="25"/>
      <x:c r="S491" s="25"/>
      <x:c r="T491" s="25"/>
      <x:c r="U491" s="25"/>
      <x:c r="V491" s="25"/>
      <x:c r="W491" s="25"/>
      <x:c r="X491" s="25"/>
      <x:c r="Y491" s="25"/>
      <x:c r="Z491" s="25"/>
    </x:row>
    <x:row r="492">
      <x:c r="A492" s="25"/>
      <x:c r="B492" s="25"/>
      <x:c r="C492" s="25"/>
      <x:c r="D492" s="25"/>
      <x:c r="E492" s="25"/>
      <x:c r="F492" s="25"/>
      <x:c r="G492" s="25"/>
      <x:c r="H492" s="25"/>
      <x:c r="I492" s="25"/>
      <x:c r="J492" s="25"/>
      <x:c r="K492" s="25"/>
      <x:c r="L492" s="25"/>
      <x:c r="M492" s="25"/>
      <x:c r="N492" s="25"/>
      <x:c r="O492" s="25"/>
      <x:c r="P492" s="25"/>
      <x:c r="Q492" s="25"/>
      <x:c r="R492" s="25"/>
      <x:c r="S492" s="25"/>
      <x:c r="T492" s="25"/>
      <x:c r="U492" s="25"/>
      <x:c r="V492" s="25"/>
      <x:c r="W492" s="25"/>
      <x:c r="X492" s="25"/>
      <x:c r="Y492" s="25"/>
      <x:c r="Z492" s="25"/>
    </x:row>
    <x:row r="493">
      <x:c r="A493" s="25"/>
      <x:c r="B493" s="25"/>
      <x:c r="C493" s="25"/>
      <x:c r="D493" s="25"/>
      <x:c r="E493" s="25"/>
      <x:c r="F493" s="25"/>
      <x:c r="G493" s="25"/>
      <x:c r="H493" s="25"/>
      <x:c r="I493" s="25"/>
      <x:c r="J493" s="25"/>
      <x:c r="K493" s="25"/>
      <x:c r="L493" s="25"/>
      <x:c r="M493" s="25"/>
      <x:c r="N493" s="25"/>
      <x:c r="O493" s="25"/>
      <x:c r="P493" s="25"/>
      <x:c r="Q493" s="25"/>
      <x:c r="R493" s="25"/>
      <x:c r="S493" s="25"/>
      <x:c r="T493" s="25"/>
      <x:c r="U493" s="25"/>
      <x:c r="V493" s="25"/>
      <x:c r="W493" s="25"/>
      <x:c r="X493" s="25"/>
      <x:c r="Y493" s="25"/>
      <x:c r="Z493" s="25"/>
    </x:row>
    <x:row r="494">
      <x:c r="A494" s="25"/>
      <x:c r="B494" s="25"/>
      <x:c r="C494" s="25"/>
      <x:c r="D494" s="25"/>
      <x:c r="E494" s="25"/>
      <x:c r="F494" s="25"/>
      <x:c r="G494" s="25"/>
      <x:c r="H494" s="25"/>
      <x:c r="I494" s="25"/>
      <x:c r="J494" s="25"/>
      <x:c r="K494" s="25"/>
      <x:c r="L494" s="25"/>
      <x:c r="M494" s="25"/>
      <x:c r="N494" s="25"/>
      <x:c r="O494" s="25"/>
      <x:c r="P494" s="25"/>
      <x:c r="Q494" s="25"/>
      <x:c r="R494" s="25"/>
      <x:c r="S494" s="25"/>
      <x:c r="T494" s="25"/>
      <x:c r="U494" s="25"/>
      <x:c r="V494" s="25"/>
      <x:c r="W494" s="25"/>
      <x:c r="X494" s="25"/>
      <x:c r="Y494" s="25"/>
      <x:c r="Z494" s="25"/>
    </x:row>
    <x:row r="495">
      <x:c r="A495" s="25"/>
      <x:c r="B495" s="25"/>
      <x:c r="C495" s="25"/>
      <x:c r="D495" s="25"/>
      <x:c r="E495" s="25"/>
      <x:c r="F495" s="25"/>
      <x:c r="G495" s="25"/>
      <x:c r="H495" s="25"/>
      <x:c r="I495" s="25"/>
      <x:c r="J495" s="25"/>
      <x:c r="K495" s="25"/>
      <x:c r="L495" s="25"/>
      <x:c r="M495" s="25"/>
      <x:c r="N495" s="25"/>
      <x:c r="O495" s="25"/>
      <x:c r="P495" s="25"/>
      <x:c r="Q495" s="25"/>
      <x:c r="R495" s="25"/>
      <x:c r="S495" s="25"/>
      <x:c r="T495" s="25"/>
      <x:c r="U495" s="25"/>
      <x:c r="V495" s="25"/>
      <x:c r="W495" s="25"/>
      <x:c r="X495" s="25"/>
      <x:c r="Y495" s="25"/>
      <x:c r="Z495" s="25"/>
    </x:row>
    <x:row r="496">
      <x:c r="A496" s="25"/>
      <x:c r="B496" s="25"/>
      <x:c r="C496" s="25"/>
      <x:c r="D496" s="25"/>
      <x:c r="E496" s="25"/>
      <x:c r="F496" s="25"/>
      <x:c r="G496" s="25"/>
      <x:c r="H496" s="25"/>
      <x:c r="I496" s="25"/>
      <x:c r="J496" s="25"/>
      <x:c r="K496" s="25"/>
      <x:c r="L496" s="25"/>
      <x:c r="M496" s="25"/>
      <x:c r="N496" s="25"/>
      <x:c r="O496" s="25"/>
      <x:c r="P496" s="25"/>
      <x:c r="Q496" s="25"/>
      <x:c r="R496" s="25"/>
      <x:c r="S496" s="25"/>
      <x:c r="T496" s="25"/>
      <x:c r="U496" s="25"/>
      <x:c r="V496" s="25"/>
      <x:c r="W496" s="25"/>
      <x:c r="X496" s="25"/>
      <x:c r="Y496" s="25"/>
      <x:c r="Z496" s="25"/>
    </x:row>
    <x:row r="497">
      <x:c r="A497" s="25"/>
      <x:c r="B497" s="25"/>
      <x:c r="C497" s="25"/>
      <x:c r="D497" s="25"/>
      <x:c r="E497" s="25"/>
      <x:c r="F497" s="25"/>
      <x:c r="G497" s="25"/>
      <x:c r="H497" s="25"/>
      <x:c r="I497" s="25"/>
      <x:c r="J497" s="25"/>
      <x:c r="K497" s="25"/>
      <x:c r="L497" s="25"/>
      <x:c r="M497" s="25"/>
      <x:c r="N497" s="25"/>
      <x:c r="O497" s="25"/>
      <x:c r="P497" s="25"/>
      <x:c r="Q497" s="25"/>
      <x:c r="R497" s="25"/>
      <x:c r="S497" s="25"/>
      <x:c r="T497" s="25"/>
      <x:c r="U497" s="25"/>
      <x:c r="V497" s="25"/>
      <x:c r="W497" s="25"/>
      <x:c r="X497" s="25"/>
      <x:c r="Y497" s="25"/>
      <x:c r="Z497" s="25"/>
    </x:row>
    <x:row r="498">
      <x:c r="A498" s="25"/>
      <x:c r="B498" s="25"/>
      <x:c r="C498" s="25"/>
      <x:c r="D498" s="25"/>
      <x:c r="E498" s="25"/>
      <x:c r="F498" s="25"/>
      <x:c r="G498" s="25"/>
      <x:c r="H498" s="25"/>
      <x:c r="I498" s="25"/>
      <x:c r="J498" s="25"/>
      <x:c r="K498" s="25"/>
      <x:c r="L498" s="25"/>
      <x:c r="M498" s="25"/>
      <x:c r="N498" s="25"/>
      <x:c r="O498" s="25"/>
      <x:c r="P498" s="25"/>
      <x:c r="Q498" s="25"/>
      <x:c r="R498" s="25"/>
      <x:c r="S498" s="25"/>
      <x:c r="T498" s="25"/>
      <x:c r="U498" s="25"/>
      <x:c r="V498" s="25"/>
      <x:c r="W498" s="25"/>
      <x:c r="X498" s="25"/>
      <x:c r="Y498" s="25"/>
      <x:c r="Z498" s="25"/>
    </x:row>
    <x:row r="499">
      <x:c r="A499" s="25"/>
      <x:c r="B499" s="25"/>
      <x:c r="C499" s="25"/>
      <x:c r="D499" s="25"/>
      <x:c r="E499" s="25"/>
      <x:c r="F499" s="25"/>
      <x:c r="G499" s="25"/>
      <x:c r="H499" s="25"/>
      <x:c r="I499" s="25"/>
      <x:c r="J499" s="25"/>
      <x:c r="K499" s="25"/>
      <x:c r="L499" s="25"/>
      <x:c r="M499" s="25"/>
      <x:c r="N499" s="25"/>
      <x:c r="O499" s="25"/>
      <x:c r="P499" s="25"/>
      <x:c r="Q499" s="25"/>
      <x:c r="R499" s="25"/>
      <x:c r="S499" s="25"/>
      <x:c r="T499" s="25"/>
      <x:c r="U499" s="25"/>
      <x:c r="V499" s="25"/>
      <x:c r="W499" s="25"/>
      <x:c r="X499" s="25"/>
      <x:c r="Y499" s="25"/>
      <x:c r="Z499" s="25"/>
    </x:row>
    <x:row r="500">
      <x:c r="A500" s="25"/>
      <x:c r="B500" s="25"/>
      <x:c r="C500" s="25"/>
      <x:c r="D500" s="25"/>
      <x:c r="E500" s="25"/>
      <x:c r="F500" s="25"/>
      <x:c r="G500" s="25"/>
      <x:c r="H500" s="25"/>
      <x:c r="I500" s="25"/>
      <x:c r="J500" s="25"/>
      <x:c r="K500" s="25"/>
      <x:c r="L500" s="25"/>
      <x:c r="M500" s="25"/>
      <x:c r="N500" s="25"/>
      <x:c r="O500" s="25"/>
      <x:c r="P500" s="25"/>
      <x:c r="Q500" s="25"/>
      <x:c r="R500" s="25"/>
      <x:c r="S500" s="25"/>
      <x:c r="T500" s="25"/>
      <x:c r="U500" s="25"/>
      <x:c r="V500" s="25"/>
      <x:c r="W500" s="25"/>
      <x:c r="X500" s="25"/>
      <x:c r="Y500" s="25"/>
      <x:c r="Z500" s="25"/>
    </x:row>
  </x:sheetData>
  <x:mergeCells>
    <x:mergeCell ref="A1:F2"/>
  </x:mergeCells>
  <x:pageMargins left="0.7" right="0.7" top="0.75" bottom="0.75" header="0.3" footer="0.3"/>
</x:worksheet>
</file>